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MD-WBS-Tools\samples\excel_templates\"/>
    </mc:Choice>
  </mc:AlternateContent>
  <xr:revisionPtr revIDLastSave="0" documentId="13_ncr:1_{B4B21CEB-CFB9-46D2-A368-348FC1B7D2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Sheet1!$A$4:$AA$376</definedName>
    <definedName name="開始日">Sheet1!$P$1</definedName>
    <definedName name="基準日">Sheet1!$P$2</definedName>
    <definedName name="計画_開始日">Sheet1!$V:$V</definedName>
    <definedName name="計画_終了日">Sheet1!$W:$W</definedName>
    <definedName name="計画_日数">Sheet1!$X:$X</definedName>
    <definedName name="実績_開始日">Sheet1!$Z1</definedName>
    <definedName name="実績_終了日">Sheet1!$AA1</definedName>
    <definedName name="週表示">Sheet1!$P$3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2" l="1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5" i="2"/>
  <c r="Q6" i="2" a="1"/>
  <c r="Q6" i="2" s="1"/>
  <c r="Q7" i="2" a="1"/>
  <c r="Q7" i="2" s="1"/>
  <c r="Q8" i="2" a="1"/>
  <c r="Q8" i="2" s="1"/>
  <c r="Q9" i="2" a="1"/>
  <c r="Q9" i="2"/>
  <c r="Q10" i="2" a="1"/>
  <c r="Q10" i="2"/>
  <c r="Q11" i="2" a="1"/>
  <c r="Q11" i="2"/>
  <c r="Q12" i="2" a="1"/>
  <c r="Q12" i="2"/>
  <c r="Q13" i="2" a="1"/>
  <c r="Q13" i="2"/>
  <c r="Q14" i="2" a="1"/>
  <c r="Q14" i="2"/>
  <c r="Q15" i="2" a="1"/>
  <c r="Q15" i="2"/>
  <c r="Q16" i="2" a="1"/>
  <c r="Q16" i="2"/>
  <c r="Q17" i="2" a="1"/>
  <c r="Q17" i="2" s="1"/>
  <c r="Q18" i="2" a="1"/>
  <c r="Q18" i="2"/>
  <c r="Q19" i="2" a="1"/>
  <c r="Q19" i="2" s="1"/>
  <c r="Q20" i="2" a="1"/>
  <c r="Q20" i="2"/>
  <c r="Q21" i="2" a="1"/>
  <c r="Q21" i="2"/>
  <c r="Q22" i="2" a="1"/>
  <c r="Q22" i="2" s="1"/>
  <c r="Q23" i="2" a="1"/>
  <c r="Q23" i="2"/>
  <c r="Q24" i="2" a="1"/>
  <c r="Q24" i="2"/>
  <c r="Q25" i="2" a="1"/>
  <c r="Q25" i="2"/>
  <c r="Q26" i="2" a="1"/>
  <c r="Q26" i="2"/>
  <c r="Q27" i="2" a="1"/>
  <c r="Q27" i="2"/>
  <c r="Q28" i="2" a="1"/>
  <c r="Q28" i="2" s="1"/>
  <c r="Q29" i="2" a="1"/>
  <c r="Q29" i="2"/>
  <c r="Q30" i="2" a="1"/>
  <c r="Q30" i="2" s="1"/>
  <c r="Q31" i="2" a="1"/>
  <c r="Q31" i="2"/>
  <c r="Q32" i="2" a="1"/>
  <c r="Q32" i="2"/>
  <c r="Q33" i="2" a="1"/>
  <c r="Q33" i="2" s="1"/>
  <c r="Q34" i="2" a="1"/>
  <c r="Q34" i="2"/>
  <c r="Q35" i="2" a="1"/>
  <c r="Q35" i="2"/>
  <c r="Q36" i="2" a="1"/>
  <c r="Q36" i="2"/>
  <c r="Q37" i="2" a="1"/>
  <c r="Q37" i="2"/>
  <c r="Q38" i="2" a="1"/>
  <c r="Q38" i="2"/>
  <c r="Q39" i="2" a="1"/>
  <c r="Q39" i="2" s="1"/>
  <c r="Q40" i="2" a="1"/>
  <c r="Q40" i="2"/>
  <c r="Q41" i="2" a="1"/>
  <c r="Q41" i="2" s="1"/>
  <c r="Q42" i="2" a="1"/>
  <c r="Q42" i="2"/>
  <c r="Q43" i="2" a="1"/>
  <c r="Q43" i="2"/>
  <c r="Q44" i="2" a="1"/>
  <c r="Q44" i="2" s="1"/>
  <c r="Q45" i="2" a="1"/>
  <c r="Q45" i="2"/>
  <c r="Q46" i="2" a="1"/>
  <c r="Q46" i="2"/>
  <c r="Q47" i="2" a="1"/>
  <c r="Q47" i="2"/>
  <c r="Q48" i="2" a="1"/>
  <c r="Q48" i="2"/>
  <c r="Q49" i="2" a="1"/>
  <c r="Q49" i="2"/>
  <c r="Q50" i="2" a="1"/>
  <c r="Q50" i="2" s="1"/>
  <c r="Q51" i="2" a="1"/>
  <c r="Q51" i="2"/>
  <c r="Q52" i="2" a="1"/>
  <c r="Q52" i="2" s="1"/>
  <c r="Q53" i="2" a="1"/>
  <c r="Q53" i="2"/>
  <c r="Q54" i="2" a="1"/>
  <c r="Q54" i="2"/>
  <c r="Q55" i="2" a="1"/>
  <c r="Q55" i="2" s="1"/>
  <c r="Q56" i="2" a="1"/>
  <c r="Q56" i="2"/>
  <c r="Q57" i="2" a="1"/>
  <c r="Q57" i="2"/>
  <c r="Q58" i="2" a="1"/>
  <c r="Q58" i="2"/>
  <c r="Q59" i="2" a="1"/>
  <c r="Q59" i="2"/>
  <c r="Q60" i="2" a="1"/>
  <c r="Q60" i="2"/>
  <c r="Q61" i="2" a="1"/>
  <c r="Q61" i="2" s="1"/>
  <c r="Q62" i="2" a="1"/>
  <c r="Q62" i="2"/>
  <c r="Q63" i="2" a="1"/>
  <c r="Q63" i="2" s="1"/>
  <c r="Q64" i="2" a="1"/>
  <c r="Q64" i="2"/>
  <c r="Q65" i="2" a="1"/>
  <c r="Q65" i="2"/>
  <c r="Q66" i="2" a="1"/>
  <c r="Q66" i="2" s="1"/>
  <c r="Q67" i="2" a="1"/>
  <c r="Q67" i="2"/>
  <c r="Q68" i="2" a="1"/>
  <c r="Q68" i="2"/>
  <c r="Q69" i="2" a="1"/>
  <c r="Q69" i="2"/>
  <c r="Q70" i="2" a="1"/>
  <c r="Q70" i="2"/>
  <c r="Q71" i="2" a="1"/>
  <c r="Q71" i="2"/>
  <c r="Q72" i="2" a="1"/>
  <c r="Q72" i="2" s="1"/>
  <c r="Q73" i="2" a="1"/>
  <c r="Q73" i="2"/>
  <c r="Q74" i="2" a="1"/>
  <c r="Q74" i="2" s="1"/>
  <c r="Q75" i="2" a="1"/>
  <c r="Q75" i="2"/>
  <c r="Q76" i="2" a="1"/>
  <c r="Q76" i="2"/>
  <c r="Q77" i="2" a="1"/>
  <c r="Q77" i="2" s="1"/>
  <c r="Q78" i="2" a="1"/>
  <c r="Q78" i="2"/>
  <c r="Q79" i="2" a="1"/>
  <c r="Q79" i="2"/>
  <c r="Q80" i="2" a="1"/>
  <c r="Q80" i="2"/>
  <c r="Q81" i="2" a="1"/>
  <c r="Q81" i="2"/>
  <c r="Q82" i="2" a="1"/>
  <c r="Q82" i="2"/>
  <c r="Q83" i="2" a="1"/>
  <c r="Q83" i="2" s="1"/>
  <c r="Q84" i="2" a="1"/>
  <c r="Q84" i="2"/>
  <c r="Q85" i="2" a="1"/>
  <c r="Q85" i="2" s="1"/>
  <c r="Q86" i="2" a="1"/>
  <c r="Q86" i="2"/>
  <c r="Q87" i="2" a="1"/>
  <c r="Q87" i="2"/>
  <c r="Q88" i="2" a="1"/>
  <c r="Q88" i="2" s="1"/>
  <c r="Q89" i="2" a="1"/>
  <c r="Q89" i="2"/>
  <c r="Q90" i="2" a="1"/>
  <c r="Q90" i="2"/>
  <c r="Q91" i="2" a="1"/>
  <c r="Q91" i="2"/>
  <c r="Q92" i="2" a="1"/>
  <c r="Q92" i="2"/>
  <c r="Q93" i="2" a="1"/>
  <c r="Q93" i="2"/>
  <c r="Q94" i="2" a="1"/>
  <c r="Q94" i="2" s="1"/>
  <c r="Q95" i="2" a="1"/>
  <c r="Q95" i="2"/>
  <c r="Q96" i="2" a="1"/>
  <c r="Q96" i="2" s="1"/>
  <c r="Q97" i="2" a="1"/>
  <c r="Q97" i="2"/>
  <c r="Q98" i="2" a="1"/>
  <c r="Q98" i="2"/>
  <c r="Q99" i="2" a="1"/>
  <c r="Q99" i="2" s="1"/>
  <c r="Q100" i="2" a="1"/>
  <c r="Q100" i="2"/>
  <c r="Q101" i="2" a="1"/>
  <c r="Q101" i="2"/>
  <c r="Q102" i="2" a="1"/>
  <c r="Q102" i="2"/>
  <c r="Q103" i="2" a="1"/>
  <c r="Q103" i="2"/>
  <c r="Q104" i="2" a="1"/>
  <c r="Q104" i="2"/>
  <c r="Q105" i="2" a="1"/>
  <c r="Q105" i="2" s="1"/>
  <c r="Q106" i="2" a="1"/>
  <c r="Q106" i="2"/>
  <c r="Q107" i="2" a="1"/>
  <c r="Q107" i="2" s="1"/>
  <c r="Q108" i="2" a="1"/>
  <c r="Q108" i="2"/>
  <c r="Q109" i="2" a="1"/>
  <c r="Q109" i="2"/>
  <c r="Q110" i="2" a="1"/>
  <c r="Q110" i="2" s="1"/>
  <c r="Q111" i="2" a="1"/>
  <c r="Q111" i="2"/>
  <c r="Q112" i="2" a="1"/>
  <c r="Q112" i="2"/>
  <c r="Q113" i="2" a="1"/>
  <c r="Q113" i="2"/>
  <c r="Q114" i="2" a="1"/>
  <c r="Q114" i="2"/>
  <c r="Q115" i="2" a="1"/>
  <c r="Q115" i="2"/>
  <c r="Q116" i="2" a="1"/>
  <c r="Q116" i="2" s="1"/>
  <c r="Q117" i="2" a="1"/>
  <c r="Q117" i="2"/>
  <c r="Q118" i="2" a="1"/>
  <c r="Q118" i="2" s="1"/>
  <c r="Q119" i="2" a="1"/>
  <c r="Q119" i="2"/>
  <c r="Q120" i="2" a="1"/>
  <c r="Q120" i="2"/>
  <c r="Q121" i="2" a="1"/>
  <c r="Q121" i="2" s="1"/>
  <c r="Q122" i="2" a="1"/>
  <c r="Q122" i="2"/>
  <c r="Q123" i="2" a="1"/>
  <c r="Q123" i="2"/>
  <c r="Q124" i="2" a="1"/>
  <c r="Q124" i="2"/>
  <c r="Q125" i="2" a="1"/>
  <c r="Q125" i="2"/>
  <c r="Q126" i="2" a="1"/>
  <c r="Q126" i="2"/>
  <c r="Q127" i="2" a="1"/>
  <c r="Q127" i="2" s="1"/>
  <c r="Q128" i="2" a="1"/>
  <c r="Q128" i="2"/>
  <c r="Q129" i="2" a="1"/>
  <c r="Q129" i="2" s="1"/>
  <c r="Q130" i="2" a="1"/>
  <c r="Q130" i="2"/>
  <c r="Q131" i="2" a="1"/>
  <c r="Q131" i="2"/>
  <c r="Q132" i="2" a="1"/>
  <c r="Q132" i="2" s="1"/>
  <c r="Q133" i="2" a="1"/>
  <c r="Q133" i="2"/>
  <c r="Q134" i="2" a="1"/>
  <c r="Q134" i="2"/>
  <c r="Q135" i="2" a="1"/>
  <c r="Q135" i="2"/>
  <c r="Q136" i="2" a="1"/>
  <c r="Q136" i="2"/>
  <c r="Q137" i="2" a="1"/>
  <c r="Q137" i="2"/>
  <c r="Q138" i="2" a="1"/>
  <c r="Q138" i="2" s="1"/>
  <c r="Q139" i="2" a="1"/>
  <c r="Q139" i="2"/>
  <c r="Q140" i="2" a="1"/>
  <c r="Q140" i="2" s="1"/>
  <c r="Q141" i="2" a="1"/>
  <c r="Q141" i="2"/>
  <c r="Q142" i="2" a="1"/>
  <c r="Q142" i="2"/>
  <c r="Q143" i="2" a="1"/>
  <c r="Q143" i="2" s="1"/>
  <c r="Q144" i="2" a="1"/>
  <c r="Q144" i="2"/>
  <c r="Q145" i="2" a="1"/>
  <c r="Q145" i="2"/>
  <c r="Q146" i="2" a="1"/>
  <c r="Q146" i="2"/>
  <c r="Q147" i="2" a="1"/>
  <c r="Q147" i="2"/>
  <c r="Q148" i="2" a="1"/>
  <c r="Q148" i="2"/>
  <c r="Q149" i="2" a="1"/>
  <c r="Q149" i="2" s="1"/>
  <c r="Q150" i="2" a="1"/>
  <c r="Q150" i="2"/>
  <c r="Q151" i="2" a="1"/>
  <c r="Q151" i="2" s="1"/>
  <c r="Q152" i="2" a="1"/>
  <c r="Q152" i="2"/>
  <c r="Q153" i="2" a="1"/>
  <c r="Q153" i="2"/>
  <c r="Q154" i="2" a="1"/>
  <c r="Q154" i="2" s="1"/>
  <c r="Q155" i="2" a="1"/>
  <c r="Q155" i="2"/>
  <c r="Q156" i="2" a="1"/>
  <c r="Q156" i="2"/>
  <c r="Q157" i="2" a="1"/>
  <c r="Q157" i="2"/>
  <c r="Q158" i="2" a="1"/>
  <c r="Q158" i="2"/>
  <c r="Q159" i="2" a="1"/>
  <c r="Q159" i="2"/>
  <c r="Q160" i="2" a="1"/>
  <c r="Q160" i="2" s="1"/>
  <c r="Q161" i="2" a="1"/>
  <c r="Q161" i="2"/>
  <c r="Q162" i="2" a="1"/>
  <c r="Q162" i="2" s="1"/>
  <c r="Q163" i="2" a="1"/>
  <c r="Q163" i="2"/>
  <c r="Q164" i="2" a="1"/>
  <c r="Q164" i="2"/>
  <c r="Q165" i="2" a="1"/>
  <c r="Q165" i="2" s="1"/>
  <c r="Q166" i="2" a="1"/>
  <c r="Q166" i="2"/>
  <c r="Q167" i="2" a="1"/>
  <c r="Q167" i="2"/>
  <c r="Q168" i="2" a="1"/>
  <c r="Q168" i="2"/>
  <c r="Q169" i="2" a="1"/>
  <c r="Q169" i="2"/>
  <c r="Q170" i="2" a="1"/>
  <c r="Q170" i="2"/>
  <c r="Q171" i="2" a="1"/>
  <c r="Q171" i="2" s="1"/>
  <c r="Q172" i="2" a="1"/>
  <c r="Q172" i="2"/>
  <c r="Q173" i="2" a="1"/>
  <c r="Q173" i="2" s="1"/>
  <c r="Q174" i="2" a="1"/>
  <c r="Q174" i="2"/>
  <c r="Q175" i="2" a="1"/>
  <c r="Q175" i="2"/>
  <c r="Q176" i="2" a="1"/>
  <c r="Q176" i="2" s="1"/>
  <c r="Q177" i="2" a="1"/>
  <c r="Q177" i="2"/>
  <c r="Q178" i="2" a="1"/>
  <c r="Q178" i="2"/>
  <c r="Q179" i="2" a="1"/>
  <c r="Q179" i="2"/>
  <c r="Q180" i="2" a="1"/>
  <c r="Q180" i="2"/>
  <c r="Q181" i="2" a="1"/>
  <c r="Q181" i="2"/>
  <c r="Q182" i="2" a="1"/>
  <c r="Q182" i="2" s="1"/>
  <c r="Q183" i="2" a="1"/>
  <c r="Q183" i="2"/>
  <c r="Q184" i="2" a="1"/>
  <c r="Q184" i="2" s="1"/>
  <c r="Q185" i="2" a="1"/>
  <c r="Q185" i="2"/>
  <c r="Q186" i="2" a="1"/>
  <c r="Q186" i="2"/>
  <c r="Q187" i="2" a="1"/>
  <c r="Q187" i="2" s="1"/>
  <c r="Q188" i="2" a="1"/>
  <c r="Q188" i="2"/>
  <c r="Q189" i="2" a="1"/>
  <c r="Q189" i="2"/>
  <c r="Q190" i="2" a="1"/>
  <c r="Q190" i="2"/>
  <c r="Q191" i="2" a="1"/>
  <c r="Q191" i="2"/>
  <c r="Q192" i="2" a="1"/>
  <c r="Q192" i="2" s="1"/>
  <c r="Q193" i="2" a="1"/>
  <c r="Q193" i="2" s="1"/>
  <c r="Q194" i="2" a="1"/>
  <c r="Q194" i="2"/>
  <c r="Q195" i="2" a="1"/>
  <c r="Q195" i="2" s="1"/>
  <c r="Q196" i="2" a="1"/>
  <c r="Q196" i="2"/>
  <c r="Q197" i="2" a="1"/>
  <c r="Q197" i="2"/>
  <c r="Q198" i="2" a="1"/>
  <c r="Q198" i="2" s="1"/>
  <c r="Q199" i="2" a="1"/>
  <c r="Q199" i="2"/>
  <c r="Q200" i="2" a="1"/>
  <c r="Q200" i="2"/>
  <c r="Q201" i="2" a="1"/>
  <c r="Q201" i="2"/>
  <c r="Q202" i="2" a="1"/>
  <c r="Q202" i="2"/>
  <c r="Q203" i="2" a="1"/>
  <c r="Q203" i="2"/>
  <c r="Q204" i="2" a="1"/>
  <c r="Q204" i="2" s="1"/>
  <c r="Q205" i="2" a="1"/>
  <c r="Q205" i="2"/>
  <c r="Q206" i="2" a="1"/>
  <c r="Q206" i="2" s="1"/>
  <c r="Q207" i="2" a="1"/>
  <c r="Q207" i="2"/>
  <c r="Q208" i="2" a="1"/>
  <c r="Q208" i="2"/>
  <c r="Q209" i="2" a="1"/>
  <c r="Q209" i="2" s="1"/>
  <c r="Q210" i="2" a="1"/>
  <c r="Q210" i="2"/>
  <c r="Q211" i="2" a="1"/>
  <c r="Q211" i="2"/>
  <c r="Q212" i="2" a="1"/>
  <c r="Q212" i="2"/>
  <c r="Q213" i="2" a="1"/>
  <c r="Q213" i="2"/>
  <c r="Q214" i="2" a="1"/>
  <c r="Q214" i="2"/>
  <c r="Q215" i="2" a="1"/>
  <c r="Q215" i="2" s="1"/>
  <c r="Q216" i="2" a="1"/>
  <c r="Q216" i="2" s="1"/>
  <c r="Q217" i="2" a="1"/>
  <c r="Q217" i="2" s="1"/>
  <c r="Q218" i="2" a="1"/>
  <c r="Q218" i="2"/>
  <c r="Q219" i="2" a="1"/>
  <c r="Q219" i="2"/>
  <c r="Q220" i="2" a="1"/>
  <c r="Q220" i="2" s="1"/>
  <c r="Q221" i="2" a="1"/>
  <c r="Q221" i="2"/>
  <c r="Q222" i="2" a="1"/>
  <c r="Q222" i="2"/>
  <c r="Q223" i="2" a="1"/>
  <c r="Q223" i="2"/>
  <c r="Q224" i="2" a="1"/>
  <c r="Q224" i="2"/>
  <c r="Q225" i="2" a="1"/>
  <c r="Q225" i="2"/>
  <c r="Q226" i="2" a="1"/>
  <c r="Q226" i="2" s="1"/>
  <c r="Q227" i="2" a="1"/>
  <c r="Q227" i="2"/>
  <c r="Q228" i="2" a="1"/>
  <c r="Q228" i="2" s="1"/>
  <c r="Q229" i="2" a="1"/>
  <c r="Q229" i="2"/>
  <c r="Q230" i="2" a="1"/>
  <c r="Q230" i="2"/>
  <c r="Q231" i="2" a="1"/>
  <c r="Q231" i="2" s="1"/>
  <c r="Q232" i="2" a="1"/>
  <c r="Q232" i="2"/>
  <c r="Q233" i="2" a="1"/>
  <c r="Q233" i="2"/>
  <c r="Q234" i="2" a="1"/>
  <c r="Q234" i="2"/>
  <c r="Q235" i="2" a="1"/>
  <c r="Q235" i="2"/>
  <c r="Q236" i="2" a="1"/>
  <c r="Q236" i="2"/>
  <c r="Q237" i="2" a="1"/>
  <c r="Q237" i="2" s="1"/>
  <c r="Q238" i="2" a="1"/>
  <c r="Q238" i="2"/>
  <c r="Q239" i="2" a="1"/>
  <c r="Q239" i="2" s="1"/>
  <c r="Q240" i="2" a="1"/>
  <c r="Q240" i="2"/>
  <c r="Q241" i="2" a="1"/>
  <c r="Q241" i="2"/>
  <c r="Q242" i="2" a="1"/>
  <c r="Q242" i="2" s="1"/>
  <c r="Q243" i="2" a="1"/>
  <c r="Q243" i="2"/>
  <c r="Q244" i="2" a="1"/>
  <c r="Q244" i="2"/>
  <c r="Q245" i="2" a="1"/>
  <c r="Q245" i="2"/>
  <c r="Q246" i="2" a="1"/>
  <c r="Q246" i="2"/>
  <c r="Q247" i="2" a="1"/>
  <c r="Q247" i="2"/>
  <c r="Q248" i="2" a="1"/>
  <c r="Q248" i="2" s="1"/>
  <c r="Q249" i="2" a="1"/>
  <c r="Q249" i="2"/>
  <c r="Q250" i="2" a="1"/>
  <c r="Q250" i="2" s="1"/>
  <c r="Q251" i="2" a="1"/>
  <c r="Q251" i="2"/>
  <c r="Q252" i="2" a="1"/>
  <c r="Q252" i="2"/>
  <c r="Q253" i="2" a="1"/>
  <c r="Q253" i="2" s="1"/>
  <c r="Q254" i="2" a="1"/>
  <c r="Q254" i="2"/>
  <c r="Q255" i="2" a="1"/>
  <c r="Q255" i="2"/>
  <c r="Q256" i="2" a="1"/>
  <c r="Q256" i="2"/>
  <c r="Q257" i="2" a="1"/>
  <c r="Q257" i="2"/>
  <c r="Q258" i="2" a="1"/>
  <c r="Q258" i="2"/>
  <c r="Q259" i="2" a="1"/>
  <c r="Q259" i="2" s="1"/>
  <c r="Q260" i="2" a="1"/>
  <c r="Q260" i="2"/>
  <c r="Q261" i="2" a="1"/>
  <c r="Q261" i="2" s="1"/>
  <c r="Q262" i="2" a="1"/>
  <c r="Q262" i="2"/>
  <c r="Q263" i="2" a="1"/>
  <c r="Q263" i="2"/>
  <c r="Q264" i="2" a="1"/>
  <c r="Q264" i="2" s="1"/>
  <c r="Q265" i="2" a="1"/>
  <c r="Q265" i="2"/>
  <c r="Q266" i="2" a="1"/>
  <c r="Q266" i="2"/>
  <c r="Q267" i="2" a="1"/>
  <c r="Q267" i="2"/>
  <c r="Q268" i="2" a="1"/>
  <c r="Q268" i="2"/>
  <c r="Q269" i="2" a="1"/>
  <c r="Q269" i="2"/>
  <c r="Q270" i="2" a="1"/>
  <c r="Q270" i="2" s="1"/>
  <c r="Q271" i="2" a="1"/>
  <c r="Q271" i="2"/>
  <c r="Q272" i="2" a="1"/>
  <c r="Q272" i="2" s="1"/>
  <c r="Q273" i="2" a="1"/>
  <c r="Q273" i="2"/>
  <c r="Q274" i="2" a="1"/>
  <c r="Q274" i="2"/>
  <c r="Q275" i="2" a="1"/>
  <c r="Q275" i="2" s="1"/>
  <c r="Q276" i="2" a="1"/>
  <c r="Q276" i="2"/>
  <c r="Q277" i="2" a="1"/>
  <c r="Q277" i="2"/>
  <c r="Q278" i="2" a="1"/>
  <c r="Q278" i="2"/>
  <c r="Q279" i="2" a="1"/>
  <c r="Q279" i="2"/>
  <c r="Q280" i="2" a="1"/>
  <c r="Q280" i="2"/>
  <c r="Q281" i="2" a="1"/>
  <c r="Q281" i="2" s="1"/>
  <c r="Q282" i="2" a="1"/>
  <c r="Q282" i="2"/>
  <c r="Q283" i="2" a="1"/>
  <c r="Q283" i="2" s="1"/>
  <c r="Q284" i="2" a="1"/>
  <c r="Q284" i="2"/>
  <c r="Q285" i="2" a="1"/>
  <c r="Q285" i="2"/>
  <c r="Q286" i="2" a="1"/>
  <c r="Q286" i="2" s="1"/>
  <c r="Q287" i="2" a="1"/>
  <c r="Q287" i="2"/>
  <c r="Q288" i="2" a="1"/>
  <c r="Q288" i="2"/>
  <c r="Q289" i="2" a="1"/>
  <c r="Q289" i="2"/>
  <c r="Q290" i="2" a="1"/>
  <c r="Q290" i="2"/>
  <c r="Q291" i="2" a="1"/>
  <c r="Q291" i="2"/>
  <c r="Q292" i="2" a="1"/>
  <c r="Q292" i="2" s="1"/>
  <c r="Q293" i="2" a="1"/>
  <c r="Q293" i="2"/>
  <c r="Q294" i="2" a="1"/>
  <c r="Q294" i="2" s="1"/>
  <c r="Q295" i="2" a="1"/>
  <c r="Q295" i="2"/>
  <c r="Q296" i="2" a="1"/>
  <c r="Q296" i="2"/>
  <c r="Q297" i="2" a="1"/>
  <c r="Q297" i="2" s="1"/>
  <c r="Q298" i="2" a="1"/>
  <c r="Q298" i="2"/>
  <c r="Q299" i="2" a="1"/>
  <c r="Q299" i="2"/>
  <c r="Q300" i="2" a="1"/>
  <c r="Q300" i="2"/>
  <c r="Q301" i="2" a="1"/>
  <c r="Q301" i="2"/>
  <c r="Q302" i="2" a="1"/>
  <c r="Q302" i="2"/>
  <c r="Q303" i="2" a="1"/>
  <c r="Q303" i="2" s="1"/>
  <c r="Q304" i="2" a="1"/>
  <c r="Q304" i="2"/>
  <c r="Q305" i="2" a="1"/>
  <c r="Q305" i="2" s="1"/>
  <c r="Q306" i="2" a="1"/>
  <c r="Q306" i="2"/>
  <c r="Q307" i="2" a="1"/>
  <c r="Q307" i="2"/>
  <c r="Q308" i="2" a="1"/>
  <c r="Q308" i="2" s="1"/>
  <c r="Q309" i="2" a="1"/>
  <c r="Q309" i="2"/>
  <c r="Q310" i="2" a="1"/>
  <c r="Q310" i="2"/>
  <c r="Q311" i="2" a="1"/>
  <c r="Q311" i="2"/>
  <c r="Q312" i="2" a="1"/>
  <c r="Q312" i="2"/>
  <c r="Q313" i="2" a="1"/>
  <c r="Q313" i="2"/>
  <c r="Q314" i="2" a="1"/>
  <c r="Q314" i="2" s="1"/>
  <c r="Q315" i="2" a="1"/>
  <c r="Q315" i="2"/>
  <c r="Q316" i="2" a="1"/>
  <c r="Q316" i="2" s="1"/>
  <c r="Q317" i="2" a="1"/>
  <c r="Q317" i="2"/>
  <c r="Q318" i="2" a="1"/>
  <c r="Q318" i="2"/>
  <c r="Q319" i="2" a="1"/>
  <c r="Q319" i="2" s="1"/>
  <c r="Q320" i="2" a="1"/>
  <c r="Q320" i="2"/>
  <c r="Q321" i="2" a="1"/>
  <c r="Q321" i="2"/>
  <c r="Q322" i="2" a="1"/>
  <c r="Q322" i="2"/>
  <c r="Q323" i="2" a="1"/>
  <c r="Q323" i="2"/>
  <c r="Q324" i="2" a="1"/>
  <c r="Q324" i="2"/>
  <c r="Q325" i="2" a="1"/>
  <c r="Q325" i="2" s="1"/>
  <c r="Q326" i="2" a="1"/>
  <c r="Q326" i="2"/>
  <c r="Q327" i="2" a="1"/>
  <c r="Q327" i="2" s="1"/>
  <c r="Q328" i="2" a="1"/>
  <c r="Q328" i="2"/>
  <c r="Q329" i="2" a="1"/>
  <c r="Q329" i="2"/>
  <c r="Q330" i="2" a="1"/>
  <c r="Q330" i="2" s="1"/>
  <c r="Q331" i="2" a="1"/>
  <c r="Q331" i="2"/>
  <c r="Q332" i="2" a="1"/>
  <c r="Q332" i="2"/>
  <c r="Q333" i="2" a="1"/>
  <c r="Q333" i="2"/>
  <c r="Q334" i="2" a="1"/>
  <c r="Q334" i="2"/>
  <c r="Q335" i="2" a="1"/>
  <c r="Q335" i="2"/>
  <c r="Q336" i="2" a="1"/>
  <c r="Q336" i="2" s="1"/>
  <c r="Q337" i="2" a="1"/>
  <c r="Q337" i="2"/>
  <c r="Q338" i="2" a="1"/>
  <c r="Q338" i="2" s="1"/>
  <c r="Q339" i="2" a="1"/>
  <c r="Q339" i="2"/>
  <c r="Q340" i="2" a="1"/>
  <c r="Q340" i="2"/>
  <c r="Q341" i="2" a="1"/>
  <c r="Q341" i="2" s="1"/>
  <c r="Q342" i="2" a="1"/>
  <c r="Q342" i="2"/>
  <c r="Q343" i="2" a="1"/>
  <c r="Q343" i="2"/>
  <c r="Q344" i="2" a="1"/>
  <c r="Q344" i="2"/>
  <c r="Q345" i="2" a="1"/>
  <c r="Q345" i="2"/>
  <c r="Q346" i="2" a="1"/>
  <c r="Q346" i="2"/>
  <c r="Q347" i="2" a="1"/>
  <c r="Q347" i="2" s="1"/>
  <c r="Q348" i="2" a="1"/>
  <c r="Q348" i="2"/>
  <c r="Q349" i="2" a="1"/>
  <c r="Q349" i="2" s="1"/>
  <c r="Q350" i="2" a="1"/>
  <c r="Q350" i="2"/>
  <c r="Q351" i="2" a="1"/>
  <c r="Q351" i="2"/>
  <c r="Q352" i="2" a="1"/>
  <c r="Q352" i="2" s="1"/>
  <c r="Q353" i="2" a="1"/>
  <c r="Q353" i="2"/>
  <c r="Q354" i="2" a="1"/>
  <c r="Q354" i="2"/>
  <c r="Q355" i="2" a="1"/>
  <c r="Q355" i="2"/>
  <c r="Q356" i="2" a="1"/>
  <c r="Q356" i="2"/>
  <c r="Q357" i="2" a="1"/>
  <c r="Q357" i="2"/>
  <c r="Q358" i="2" a="1"/>
  <c r="Q358" i="2" s="1"/>
  <c r="Q359" i="2" a="1"/>
  <c r="Q359" i="2"/>
  <c r="Q360" i="2" a="1"/>
  <c r="Q360" i="2" s="1"/>
  <c r="Q361" i="2" a="1"/>
  <c r="Q361" i="2"/>
  <c r="Q362" i="2" a="1"/>
  <c r="Q362" i="2"/>
  <c r="Q363" i="2" a="1"/>
  <c r="Q363" i="2" s="1"/>
  <c r="Q364" i="2" a="1"/>
  <c r="Q364" i="2"/>
  <c r="Q365" i="2" a="1"/>
  <c r="Q365" i="2"/>
  <c r="Q366" i="2" a="1"/>
  <c r="Q366" i="2"/>
  <c r="Q367" i="2" a="1"/>
  <c r="Q367" i="2"/>
  <c r="Q368" i="2" a="1"/>
  <c r="Q368" i="2"/>
  <c r="Q369" i="2" a="1"/>
  <c r="Q369" i="2" s="1"/>
  <c r="Q370" i="2" a="1"/>
  <c r="Q370" i="2" s="1"/>
  <c r="Q371" i="2" a="1"/>
  <c r="Q371" i="2" s="1"/>
  <c r="Q372" i="2" a="1"/>
  <c r="Q372" i="2"/>
  <c r="Q373" i="2" a="1"/>
  <c r="Q373" i="2"/>
  <c r="Q374" i="2" a="1"/>
  <c r="Q374" i="2" s="1"/>
  <c r="Q375" i="2" a="1"/>
  <c r="Q375" i="2"/>
  <c r="Q5" i="2" a="1"/>
  <c r="Q5" i="2" s="1"/>
  <c r="I15" i="2"/>
  <c r="I6" i="2"/>
  <c r="I7" i="2"/>
  <c r="I8" i="2"/>
  <c r="I9" i="2"/>
  <c r="I10" i="2"/>
  <c r="I11" i="2"/>
  <c r="I12" i="2"/>
  <c r="I13" i="2"/>
  <c r="I14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5" i="2"/>
  <c r="X6" i="2"/>
  <c r="V7" i="2"/>
  <c r="X7" i="2"/>
  <c r="X8" i="2"/>
  <c r="V9" i="2"/>
  <c r="X9" i="2"/>
  <c r="W10" i="2"/>
  <c r="X10" i="2"/>
  <c r="W11" i="2"/>
  <c r="K11" i="2" s="1"/>
  <c r="X11" i="2"/>
  <c r="W12" i="2"/>
  <c r="K12" i="2" s="1"/>
  <c r="X12" i="2"/>
  <c r="V13" i="2"/>
  <c r="W13" i="2"/>
  <c r="K13" i="2" s="1"/>
  <c r="X13" i="2"/>
  <c r="W14" i="2"/>
  <c r="X14" i="2"/>
  <c r="V15" i="2"/>
  <c r="W15" i="2"/>
  <c r="V16" i="2"/>
  <c r="W16" i="2"/>
  <c r="W17" i="2"/>
  <c r="K17" i="2" s="1"/>
  <c r="W18" i="2"/>
  <c r="K18" i="2" s="1"/>
  <c r="V19" i="2"/>
  <c r="W19" i="2"/>
  <c r="V20" i="2"/>
  <c r="W20" i="2"/>
  <c r="V21" i="2"/>
  <c r="W21" i="2"/>
  <c r="V22" i="2"/>
  <c r="W22" i="2"/>
  <c r="X22" i="2"/>
  <c r="V23" i="2"/>
  <c r="W23" i="2"/>
  <c r="X23" i="2"/>
  <c r="V24" i="2"/>
  <c r="W24" i="2"/>
  <c r="X24" i="2"/>
  <c r="V25" i="2"/>
  <c r="W25" i="2"/>
  <c r="X25" i="2"/>
  <c r="V26" i="2"/>
  <c r="W26" i="2"/>
  <c r="X26" i="2"/>
  <c r="V27" i="2"/>
  <c r="W27" i="2"/>
  <c r="X27" i="2"/>
  <c r="V28" i="2"/>
  <c r="W28" i="2"/>
  <c r="X28" i="2"/>
  <c r="V29" i="2"/>
  <c r="W29" i="2"/>
  <c r="X29" i="2"/>
  <c r="V30" i="2"/>
  <c r="W30" i="2"/>
  <c r="X30" i="2"/>
  <c r="V31" i="2"/>
  <c r="W31" i="2"/>
  <c r="X31" i="2"/>
  <c r="V32" i="2"/>
  <c r="W32" i="2"/>
  <c r="X32" i="2"/>
  <c r="V33" i="2"/>
  <c r="W33" i="2"/>
  <c r="X33" i="2"/>
  <c r="V34" i="2"/>
  <c r="W34" i="2"/>
  <c r="X34" i="2"/>
  <c r="V35" i="2"/>
  <c r="W35" i="2"/>
  <c r="X35" i="2"/>
  <c r="V36" i="2"/>
  <c r="W36" i="2"/>
  <c r="X36" i="2"/>
  <c r="V37" i="2"/>
  <c r="W37" i="2"/>
  <c r="X37" i="2"/>
  <c r="V38" i="2"/>
  <c r="W38" i="2"/>
  <c r="X38" i="2"/>
  <c r="V39" i="2"/>
  <c r="W39" i="2"/>
  <c r="X39" i="2"/>
  <c r="V40" i="2"/>
  <c r="W40" i="2"/>
  <c r="X40" i="2"/>
  <c r="V41" i="2"/>
  <c r="W41" i="2"/>
  <c r="X41" i="2"/>
  <c r="V42" i="2"/>
  <c r="W42" i="2"/>
  <c r="X42" i="2"/>
  <c r="V43" i="2"/>
  <c r="W43" i="2"/>
  <c r="X43" i="2"/>
  <c r="V44" i="2"/>
  <c r="W44" i="2"/>
  <c r="X44" i="2"/>
  <c r="V45" i="2"/>
  <c r="W45" i="2"/>
  <c r="X45" i="2"/>
  <c r="V46" i="2"/>
  <c r="W46" i="2"/>
  <c r="X46" i="2"/>
  <c r="V47" i="2"/>
  <c r="W47" i="2"/>
  <c r="X47" i="2"/>
  <c r="V48" i="2"/>
  <c r="W48" i="2"/>
  <c r="X48" i="2"/>
  <c r="V49" i="2"/>
  <c r="W49" i="2"/>
  <c r="X49" i="2"/>
  <c r="V50" i="2"/>
  <c r="W50" i="2"/>
  <c r="X50" i="2"/>
  <c r="V51" i="2"/>
  <c r="W51" i="2"/>
  <c r="X51" i="2"/>
  <c r="V52" i="2"/>
  <c r="W52" i="2"/>
  <c r="X52" i="2"/>
  <c r="V53" i="2"/>
  <c r="W53" i="2"/>
  <c r="X53" i="2"/>
  <c r="V54" i="2"/>
  <c r="W54" i="2"/>
  <c r="X54" i="2"/>
  <c r="V55" i="2"/>
  <c r="W55" i="2"/>
  <c r="X55" i="2"/>
  <c r="V56" i="2"/>
  <c r="W56" i="2"/>
  <c r="X56" i="2"/>
  <c r="V57" i="2"/>
  <c r="W57" i="2"/>
  <c r="X57" i="2"/>
  <c r="V58" i="2"/>
  <c r="W58" i="2"/>
  <c r="X58" i="2"/>
  <c r="V59" i="2"/>
  <c r="W59" i="2"/>
  <c r="X59" i="2"/>
  <c r="V60" i="2"/>
  <c r="W60" i="2"/>
  <c r="X60" i="2"/>
  <c r="V61" i="2"/>
  <c r="W61" i="2"/>
  <c r="X61" i="2"/>
  <c r="V62" i="2"/>
  <c r="W62" i="2"/>
  <c r="X62" i="2"/>
  <c r="V63" i="2"/>
  <c r="W63" i="2"/>
  <c r="X63" i="2"/>
  <c r="V64" i="2"/>
  <c r="W64" i="2"/>
  <c r="X64" i="2"/>
  <c r="V65" i="2"/>
  <c r="W65" i="2"/>
  <c r="X65" i="2"/>
  <c r="V66" i="2"/>
  <c r="W66" i="2"/>
  <c r="X66" i="2"/>
  <c r="V67" i="2"/>
  <c r="W67" i="2"/>
  <c r="X67" i="2"/>
  <c r="V68" i="2"/>
  <c r="W68" i="2"/>
  <c r="X68" i="2"/>
  <c r="V69" i="2"/>
  <c r="W69" i="2"/>
  <c r="X69" i="2"/>
  <c r="V70" i="2"/>
  <c r="W70" i="2"/>
  <c r="X70" i="2"/>
  <c r="V71" i="2"/>
  <c r="W71" i="2"/>
  <c r="X71" i="2"/>
  <c r="V72" i="2"/>
  <c r="W72" i="2"/>
  <c r="X72" i="2"/>
  <c r="V73" i="2"/>
  <c r="W73" i="2"/>
  <c r="X73" i="2"/>
  <c r="V74" i="2"/>
  <c r="W74" i="2"/>
  <c r="X74" i="2"/>
  <c r="V75" i="2"/>
  <c r="W75" i="2"/>
  <c r="X75" i="2"/>
  <c r="V76" i="2"/>
  <c r="W76" i="2"/>
  <c r="X76" i="2"/>
  <c r="V77" i="2"/>
  <c r="W77" i="2"/>
  <c r="X77" i="2"/>
  <c r="V78" i="2"/>
  <c r="W78" i="2"/>
  <c r="X78" i="2"/>
  <c r="V79" i="2"/>
  <c r="W79" i="2"/>
  <c r="X79" i="2"/>
  <c r="V80" i="2"/>
  <c r="W80" i="2"/>
  <c r="X80" i="2"/>
  <c r="V81" i="2"/>
  <c r="W81" i="2"/>
  <c r="X81" i="2"/>
  <c r="V82" i="2"/>
  <c r="W82" i="2"/>
  <c r="X82" i="2"/>
  <c r="V83" i="2"/>
  <c r="W83" i="2"/>
  <c r="X83" i="2"/>
  <c r="V84" i="2"/>
  <c r="W84" i="2"/>
  <c r="X84" i="2"/>
  <c r="V85" i="2"/>
  <c r="W85" i="2"/>
  <c r="X85" i="2"/>
  <c r="V86" i="2"/>
  <c r="W86" i="2"/>
  <c r="X86" i="2"/>
  <c r="V87" i="2"/>
  <c r="W87" i="2"/>
  <c r="X87" i="2"/>
  <c r="V88" i="2"/>
  <c r="W88" i="2"/>
  <c r="X88" i="2"/>
  <c r="V89" i="2"/>
  <c r="W89" i="2"/>
  <c r="X89" i="2"/>
  <c r="V90" i="2"/>
  <c r="W90" i="2"/>
  <c r="X90" i="2"/>
  <c r="V91" i="2"/>
  <c r="W91" i="2"/>
  <c r="X91" i="2"/>
  <c r="V92" i="2"/>
  <c r="W92" i="2"/>
  <c r="X92" i="2"/>
  <c r="V93" i="2"/>
  <c r="W93" i="2"/>
  <c r="X93" i="2"/>
  <c r="V94" i="2"/>
  <c r="W94" i="2"/>
  <c r="X94" i="2"/>
  <c r="V95" i="2"/>
  <c r="W95" i="2"/>
  <c r="X95" i="2"/>
  <c r="V96" i="2"/>
  <c r="W96" i="2"/>
  <c r="X96" i="2"/>
  <c r="V97" i="2"/>
  <c r="W97" i="2"/>
  <c r="X97" i="2"/>
  <c r="V98" i="2"/>
  <c r="W98" i="2"/>
  <c r="X98" i="2"/>
  <c r="V99" i="2"/>
  <c r="W99" i="2"/>
  <c r="X99" i="2"/>
  <c r="V100" i="2"/>
  <c r="W100" i="2"/>
  <c r="X100" i="2"/>
  <c r="V101" i="2"/>
  <c r="W101" i="2"/>
  <c r="X101" i="2"/>
  <c r="V102" i="2"/>
  <c r="W102" i="2"/>
  <c r="X102" i="2"/>
  <c r="V103" i="2"/>
  <c r="W103" i="2"/>
  <c r="X103" i="2"/>
  <c r="V104" i="2"/>
  <c r="W104" i="2"/>
  <c r="X104" i="2"/>
  <c r="V105" i="2"/>
  <c r="W105" i="2"/>
  <c r="X105" i="2"/>
  <c r="V106" i="2"/>
  <c r="W106" i="2"/>
  <c r="X106" i="2"/>
  <c r="V107" i="2"/>
  <c r="W107" i="2"/>
  <c r="X107" i="2"/>
  <c r="V108" i="2"/>
  <c r="W108" i="2"/>
  <c r="X108" i="2"/>
  <c r="V109" i="2"/>
  <c r="W109" i="2"/>
  <c r="X109" i="2"/>
  <c r="V110" i="2"/>
  <c r="W110" i="2"/>
  <c r="X110" i="2"/>
  <c r="V111" i="2"/>
  <c r="W111" i="2"/>
  <c r="X111" i="2"/>
  <c r="V112" i="2"/>
  <c r="W112" i="2"/>
  <c r="X112" i="2"/>
  <c r="V113" i="2"/>
  <c r="W113" i="2"/>
  <c r="X113" i="2"/>
  <c r="V114" i="2"/>
  <c r="W114" i="2"/>
  <c r="X114" i="2"/>
  <c r="V115" i="2"/>
  <c r="W115" i="2"/>
  <c r="X115" i="2"/>
  <c r="V116" i="2"/>
  <c r="W116" i="2"/>
  <c r="X116" i="2"/>
  <c r="V117" i="2"/>
  <c r="W117" i="2"/>
  <c r="X117" i="2"/>
  <c r="V118" i="2"/>
  <c r="W118" i="2"/>
  <c r="X118" i="2"/>
  <c r="V119" i="2"/>
  <c r="W119" i="2"/>
  <c r="X119" i="2"/>
  <c r="V120" i="2"/>
  <c r="W120" i="2"/>
  <c r="X120" i="2"/>
  <c r="V121" i="2"/>
  <c r="W121" i="2"/>
  <c r="X121" i="2"/>
  <c r="V122" i="2"/>
  <c r="W122" i="2"/>
  <c r="X122" i="2"/>
  <c r="V123" i="2"/>
  <c r="W123" i="2"/>
  <c r="X123" i="2"/>
  <c r="V124" i="2"/>
  <c r="W124" i="2"/>
  <c r="X124" i="2"/>
  <c r="V125" i="2"/>
  <c r="W125" i="2"/>
  <c r="X125" i="2"/>
  <c r="V126" i="2"/>
  <c r="W126" i="2"/>
  <c r="X126" i="2"/>
  <c r="V127" i="2"/>
  <c r="W127" i="2"/>
  <c r="X127" i="2"/>
  <c r="V128" i="2"/>
  <c r="W128" i="2"/>
  <c r="X128" i="2"/>
  <c r="V129" i="2"/>
  <c r="W129" i="2"/>
  <c r="X129" i="2"/>
  <c r="V130" i="2"/>
  <c r="W130" i="2"/>
  <c r="X130" i="2"/>
  <c r="V131" i="2"/>
  <c r="W131" i="2"/>
  <c r="X131" i="2"/>
  <c r="V132" i="2"/>
  <c r="W132" i="2"/>
  <c r="X132" i="2"/>
  <c r="V133" i="2"/>
  <c r="W133" i="2"/>
  <c r="X133" i="2"/>
  <c r="V134" i="2"/>
  <c r="W134" i="2"/>
  <c r="X134" i="2"/>
  <c r="V135" i="2"/>
  <c r="W135" i="2"/>
  <c r="X135" i="2"/>
  <c r="V136" i="2"/>
  <c r="W136" i="2"/>
  <c r="X136" i="2"/>
  <c r="V137" i="2"/>
  <c r="W137" i="2"/>
  <c r="X137" i="2"/>
  <c r="V138" i="2"/>
  <c r="W138" i="2"/>
  <c r="X138" i="2"/>
  <c r="V139" i="2"/>
  <c r="W139" i="2"/>
  <c r="X139" i="2"/>
  <c r="V140" i="2"/>
  <c r="W140" i="2"/>
  <c r="X140" i="2"/>
  <c r="V141" i="2"/>
  <c r="W141" i="2"/>
  <c r="X141" i="2"/>
  <c r="V142" i="2"/>
  <c r="W142" i="2"/>
  <c r="X142" i="2"/>
  <c r="V143" i="2"/>
  <c r="W143" i="2"/>
  <c r="X143" i="2"/>
  <c r="V144" i="2"/>
  <c r="W144" i="2"/>
  <c r="X144" i="2"/>
  <c r="V145" i="2"/>
  <c r="W145" i="2"/>
  <c r="X145" i="2"/>
  <c r="V146" i="2"/>
  <c r="W146" i="2"/>
  <c r="X146" i="2"/>
  <c r="V147" i="2"/>
  <c r="W147" i="2"/>
  <c r="X147" i="2"/>
  <c r="V148" i="2"/>
  <c r="W148" i="2"/>
  <c r="X148" i="2"/>
  <c r="V149" i="2"/>
  <c r="W149" i="2"/>
  <c r="X149" i="2"/>
  <c r="V150" i="2"/>
  <c r="W150" i="2"/>
  <c r="X150" i="2"/>
  <c r="V151" i="2"/>
  <c r="W151" i="2"/>
  <c r="X151" i="2"/>
  <c r="V152" i="2"/>
  <c r="W152" i="2"/>
  <c r="X152" i="2"/>
  <c r="V153" i="2"/>
  <c r="W153" i="2"/>
  <c r="X153" i="2"/>
  <c r="V154" i="2"/>
  <c r="W154" i="2"/>
  <c r="X154" i="2"/>
  <c r="V155" i="2"/>
  <c r="W155" i="2"/>
  <c r="X155" i="2"/>
  <c r="V156" i="2"/>
  <c r="W156" i="2"/>
  <c r="X156" i="2"/>
  <c r="V157" i="2"/>
  <c r="W157" i="2"/>
  <c r="X157" i="2"/>
  <c r="V158" i="2"/>
  <c r="W158" i="2"/>
  <c r="X158" i="2"/>
  <c r="V159" i="2"/>
  <c r="W159" i="2"/>
  <c r="X159" i="2"/>
  <c r="V160" i="2"/>
  <c r="W160" i="2"/>
  <c r="X160" i="2"/>
  <c r="V161" i="2"/>
  <c r="W161" i="2"/>
  <c r="X161" i="2"/>
  <c r="V162" i="2"/>
  <c r="W162" i="2"/>
  <c r="X162" i="2"/>
  <c r="V163" i="2"/>
  <c r="W163" i="2"/>
  <c r="X163" i="2"/>
  <c r="V164" i="2"/>
  <c r="W164" i="2"/>
  <c r="X164" i="2"/>
  <c r="V165" i="2"/>
  <c r="W165" i="2"/>
  <c r="X165" i="2"/>
  <c r="V166" i="2"/>
  <c r="W166" i="2"/>
  <c r="X166" i="2"/>
  <c r="V167" i="2"/>
  <c r="W167" i="2"/>
  <c r="X167" i="2"/>
  <c r="V168" i="2"/>
  <c r="W168" i="2"/>
  <c r="X168" i="2"/>
  <c r="V169" i="2"/>
  <c r="W169" i="2"/>
  <c r="X169" i="2"/>
  <c r="V170" i="2"/>
  <c r="W170" i="2"/>
  <c r="X170" i="2"/>
  <c r="V171" i="2"/>
  <c r="W171" i="2"/>
  <c r="X171" i="2"/>
  <c r="V172" i="2"/>
  <c r="W172" i="2"/>
  <c r="X172" i="2"/>
  <c r="V173" i="2"/>
  <c r="W173" i="2"/>
  <c r="X173" i="2"/>
  <c r="V174" i="2"/>
  <c r="W174" i="2"/>
  <c r="X174" i="2"/>
  <c r="V175" i="2"/>
  <c r="W175" i="2"/>
  <c r="X175" i="2"/>
  <c r="V176" i="2"/>
  <c r="W176" i="2"/>
  <c r="X176" i="2"/>
  <c r="V177" i="2"/>
  <c r="W177" i="2"/>
  <c r="X177" i="2"/>
  <c r="V178" i="2"/>
  <c r="W178" i="2"/>
  <c r="X178" i="2"/>
  <c r="V179" i="2"/>
  <c r="W179" i="2"/>
  <c r="X179" i="2"/>
  <c r="V180" i="2"/>
  <c r="W180" i="2"/>
  <c r="X180" i="2"/>
  <c r="V181" i="2"/>
  <c r="W181" i="2"/>
  <c r="X181" i="2"/>
  <c r="V182" i="2"/>
  <c r="W182" i="2"/>
  <c r="X182" i="2"/>
  <c r="V183" i="2"/>
  <c r="W183" i="2"/>
  <c r="X183" i="2"/>
  <c r="V184" i="2"/>
  <c r="W184" i="2"/>
  <c r="X184" i="2"/>
  <c r="V185" i="2"/>
  <c r="W185" i="2"/>
  <c r="X185" i="2"/>
  <c r="V186" i="2"/>
  <c r="W186" i="2"/>
  <c r="X186" i="2"/>
  <c r="V187" i="2"/>
  <c r="W187" i="2"/>
  <c r="X187" i="2"/>
  <c r="V188" i="2"/>
  <c r="W188" i="2"/>
  <c r="X188" i="2"/>
  <c r="V189" i="2"/>
  <c r="W189" i="2"/>
  <c r="X189" i="2"/>
  <c r="V190" i="2"/>
  <c r="W190" i="2"/>
  <c r="X190" i="2"/>
  <c r="V191" i="2"/>
  <c r="W191" i="2"/>
  <c r="X191" i="2"/>
  <c r="V192" i="2"/>
  <c r="W192" i="2"/>
  <c r="X192" i="2"/>
  <c r="V193" i="2"/>
  <c r="W193" i="2"/>
  <c r="X193" i="2"/>
  <c r="V194" i="2"/>
  <c r="W194" i="2"/>
  <c r="X194" i="2"/>
  <c r="V195" i="2"/>
  <c r="W195" i="2"/>
  <c r="X195" i="2"/>
  <c r="V196" i="2"/>
  <c r="W196" i="2"/>
  <c r="X196" i="2"/>
  <c r="V197" i="2"/>
  <c r="W197" i="2"/>
  <c r="X197" i="2"/>
  <c r="V198" i="2"/>
  <c r="W198" i="2"/>
  <c r="X198" i="2"/>
  <c r="V199" i="2"/>
  <c r="W199" i="2"/>
  <c r="X199" i="2"/>
  <c r="V200" i="2"/>
  <c r="W200" i="2"/>
  <c r="X200" i="2"/>
  <c r="V201" i="2"/>
  <c r="W201" i="2"/>
  <c r="X201" i="2"/>
  <c r="V202" i="2"/>
  <c r="W202" i="2"/>
  <c r="X202" i="2"/>
  <c r="V203" i="2"/>
  <c r="W203" i="2"/>
  <c r="X203" i="2"/>
  <c r="V204" i="2"/>
  <c r="W204" i="2"/>
  <c r="X204" i="2"/>
  <c r="V205" i="2"/>
  <c r="W205" i="2"/>
  <c r="X205" i="2"/>
  <c r="V206" i="2"/>
  <c r="W206" i="2"/>
  <c r="X206" i="2"/>
  <c r="V207" i="2"/>
  <c r="W207" i="2"/>
  <c r="X207" i="2"/>
  <c r="V208" i="2"/>
  <c r="W208" i="2"/>
  <c r="X208" i="2"/>
  <c r="V209" i="2"/>
  <c r="W209" i="2"/>
  <c r="X209" i="2"/>
  <c r="V210" i="2"/>
  <c r="W210" i="2"/>
  <c r="X210" i="2"/>
  <c r="V211" i="2"/>
  <c r="W211" i="2"/>
  <c r="X211" i="2"/>
  <c r="V212" i="2"/>
  <c r="W212" i="2"/>
  <c r="X212" i="2"/>
  <c r="V213" i="2"/>
  <c r="W213" i="2"/>
  <c r="X213" i="2"/>
  <c r="V214" i="2"/>
  <c r="W214" i="2"/>
  <c r="X214" i="2"/>
  <c r="V215" i="2"/>
  <c r="W215" i="2"/>
  <c r="X215" i="2"/>
  <c r="V216" i="2"/>
  <c r="W216" i="2"/>
  <c r="X216" i="2"/>
  <c r="V217" i="2"/>
  <c r="W217" i="2"/>
  <c r="X217" i="2"/>
  <c r="V218" i="2"/>
  <c r="W218" i="2"/>
  <c r="X218" i="2"/>
  <c r="V219" i="2"/>
  <c r="W219" i="2"/>
  <c r="X219" i="2"/>
  <c r="V220" i="2"/>
  <c r="W220" i="2"/>
  <c r="X220" i="2"/>
  <c r="V221" i="2"/>
  <c r="W221" i="2"/>
  <c r="X221" i="2"/>
  <c r="V222" i="2"/>
  <c r="W222" i="2"/>
  <c r="X222" i="2"/>
  <c r="V223" i="2"/>
  <c r="W223" i="2"/>
  <c r="X223" i="2"/>
  <c r="V224" i="2"/>
  <c r="W224" i="2"/>
  <c r="X224" i="2"/>
  <c r="V225" i="2"/>
  <c r="W225" i="2"/>
  <c r="X225" i="2"/>
  <c r="V226" i="2"/>
  <c r="W226" i="2"/>
  <c r="X226" i="2"/>
  <c r="V227" i="2"/>
  <c r="W227" i="2"/>
  <c r="X227" i="2"/>
  <c r="V228" i="2"/>
  <c r="W228" i="2"/>
  <c r="X228" i="2"/>
  <c r="V229" i="2"/>
  <c r="W229" i="2"/>
  <c r="X229" i="2"/>
  <c r="V230" i="2"/>
  <c r="W230" i="2"/>
  <c r="X230" i="2"/>
  <c r="V231" i="2"/>
  <c r="W231" i="2"/>
  <c r="X231" i="2"/>
  <c r="V232" i="2"/>
  <c r="W232" i="2"/>
  <c r="X232" i="2"/>
  <c r="V233" i="2"/>
  <c r="W233" i="2"/>
  <c r="X233" i="2"/>
  <c r="V234" i="2"/>
  <c r="W234" i="2"/>
  <c r="X234" i="2"/>
  <c r="V235" i="2"/>
  <c r="W235" i="2"/>
  <c r="X235" i="2"/>
  <c r="V236" i="2"/>
  <c r="W236" i="2"/>
  <c r="X236" i="2"/>
  <c r="V237" i="2"/>
  <c r="W237" i="2"/>
  <c r="X237" i="2"/>
  <c r="V238" i="2"/>
  <c r="W238" i="2"/>
  <c r="X238" i="2"/>
  <c r="V239" i="2"/>
  <c r="W239" i="2"/>
  <c r="X239" i="2"/>
  <c r="V240" i="2"/>
  <c r="W240" i="2"/>
  <c r="X240" i="2"/>
  <c r="V241" i="2"/>
  <c r="W241" i="2"/>
  <c r="X241" i="2"/>
  <c r="V242" i="2"/>
  <c r="W242" i="2"/>
  <c r="X242" i="2"/>
  <c r="V243" i="2"/>
  <c r="W243" i="2"/>
  <c r="X243" i="2"/>
  <c r="V244" i="2"/>
  <c r="W244" i="2"/>
  <c r="X244" i="2"/>
  <c r="V245" i="2"/>
  <c r="W245" i="2"/>
  <c r="X245" i="2"/>
  <c r="V246" i="2"/>
  <c r="W246" i="2"/>
  <c r="X246" i="2"/>
  <c r="V247" i="2"/>
  <c r="W247" i="2"/>
  <c r="X247" i="2"/>
  <c r="V248" i="2"/>
  <c r="W248" i="2"/>
  <c r="X248" i="2"/>
  <c r="V249" i="2"/>
  <c r="W249" i="2"/>
  <c r="X249" i="2"/>
  <c r="V250" i="2"/>
  <c r="W250" i="2"/>
  <c r="X250" i="2"/>
  <c r="V251" i="2"/>
  <c r="W251" i="2"/>
  <c r="X251" i="2"/>
  <c r="V252" i="2"/>
  <c r="W252" i="2"/>
  <c r="X252" i="2"/>
  <c r="V253" i="2"/>
  <c r="W253" i="2"/>
  <c r="X253" i="2"/>
  <c r="V254" i="2"/>
  <c r="W254" i="2"/>
  <c r="X254" i="2"/>
  <c r="V255" i="2"/>
  <c r="W255" i="2"/>
  <c r="X255" i="2"/>
  <c r="V256" i="2"/>
  <c r="W256" i="2"/>
  <c r="X256" i="2"/>
  <c r="V257" i="2"/>
  <c r="W257" i="2"/>
  <c r="X257" i="2"/>
  <c r="V258" i="2"/>
  <c r="W258" i="2"/>
  <c r="X258" i="2"/>
  <c r="V259" i="2"/>
  <c r="W259" i="2"/>
  <c r="X259" i="2"/>
  <c r="V260" i="2"/>
  <c r="W260" i="2"/>
  <c r="X260" i="2"/>
  <c r="V261" i="2"/>
  <c r="W261" i="2"/>
  <c r="X261" i="2"/>
  <c r="V262" i="2"/>
  <c r="W262" i="2"/>
  <c r="X262" i="2"/>
  <c r="V263" i="2"/>
  <c r="W263" i="2"/>
  <c r="X263" i="2"/>
  <c r="V264" i="2"/>
  <c r="W264" i="2"/>
  <c r="X264" i="2"/>
  <c r="V265" i="2"/>
  <c r="W265" i="2"/>
  <c r="X265" i="2"/>
  <c r="V266" i="2"/>
  <c r="W266" i="2"/>
  <c r="X266" i="2"/>
  <c r="V267" i="2"/>
  <c r="W267" i="2"/>
  <c r="X267" i="2"/>
  <c r="V268" i="2"/>
  <c r="W268" i="2"/>
  <c r="X268" i="2"/>
  <c r="V269" i="2"/>
  <c r="W269" i="2"/>
  <c r="X269" i="2"/>
  <c r="V270" i="2"/>
  <c r="W270" i="2"/>
  <c r="X270" i="2"/>
  <c r="V271" i="2"/>
  <c r="W271" i="2"/>
  <c r="X271" i="2"/>
  <c r="V272" i="2"/>
  <c r="W272" i="2"/>
  <c r="X272" i="2"/>
  <c r="V273" i="2"/>
  <c r="W273" i="2"/>
  <c r="X273" i="2"/>
  <c r="V274" i="2"/>
  <c r="W274" i="2"/>
  <c r="X274" i="2"/>
  <c r="V275" i="2"/>
  <c r="W275" i="2"/>
  <c r="X275" i="2"/>
  <c r="V276" i="2"/>
  <c r="W276" i="2"/>
  <c r="X276" i="2"/>
  <c r="V277" i="2"/>
  <c r="W277" i="2"/>
  <c r="X277" i="2"/>
  <c r="V278" i="2"/>
  <c r="W278" i="2"/>
  <c r="X278" i="2"/>
  <c r="V279" i="2"/>
  <c r="W279" i="2"/>
  <c r="X279" i="2"/>
  <c r="V280" i="2"/>
  <c r="W280" i="2"/>
  <c r="X280" i="2"/>
  <c r="V281" i="2"/>
  <c r="W281" i="2"/>
  <c r="X281" i="2"/>
  <c r="V282" i="2"/>
  <c r="W282" i="2"/>
  <c r="X282" i="2"/>
  <c r="V283" i="2"/>
  <c r="W283" i="2"/>
  <c r="X283" i="2"/>
  <c r="V284" i="2"/>
  <c r="W284" i="2"/>
  <c r="X284" i="2"/>
  <c r="V285" i="2"/>
  <c r="W285" i="2"/>
  <c r="X285" i="2"/>
  <c r="V286" i="2"/>
  <c r="W286" i="2"/>
  <c r="X286" i="2"/>
  <c r="V287" i="2"/>
  <c r="W287" i="2"/>
  <c r="X287" i="2"/>
  <c r="V288" i="2"/>
  <c r="W288" i="2"/>
  <c r="X288" i="2"/>
  <c r="V289" i="2"/>
  <c r="W289" i="2"/>
  <c r="X289" i="2"/>
  <c r="V290" i="2"/>
  <c r="W290" i="2"/>
  <c r="X290" i="2"/>
  <c r="V291" i="2"/>
  <c r="W291" i="2"/>
  <c r="X291" i="2"/>
  <c r="V292" i="2"/>
  <c r="W292" i="2"/>
  <c r="X292" i="2"/>
  <c r="V293" i="2"/>
  <c r="W293" i="2"/>
  <c r="X293" i="2"/>
  <c r="V294" i="2"/>
  <c r="W294" i="2"/>
  <c r="X294" i="2"/>
  <c r="V295" i="2"/>
  <c r="W295" i="2"/>
  <c r="X295" i="2"/>
  <c r="V296" i="2"/>
  <c r="W296" i="2"/>
  <c r="X296" i="2"/>
  <c r="V297" i="2"/>
  <c r="W297" i="2"/>
  <c r="X297" i="2"/>
  <c r="V298" i="2"/>
  <c r="W298" i="2"/>
  <c r="X298" i="2"/>
  <c r="V299" i="2"/>
  <c r="W299" i="2"/>
  <c r="X299" i="2"/>
  <c r="V300" i="2"/>
  <c r="W300" i="2"/>
  <c r="X300" i="2"/>
  <c r="V301" i="2"/>
  <c r="W301" i="2"/>
  <c r="X301" i="2"/>
  <c r="V302" i="2"/>
  <c r="W302" i="2"/>
  <c r="X302" i="2"/>
  <c r="V303" i="2"/>
  <c r="W303" i="2"/>
  <c r="X303" i="2"/>
  <c r="V304" i="2"/>
  <c r="W304" i="2"/>
  <c r="X304" i="2"/>
  <c r="V305" i="2"/>
  <c r="W305" i="2"/>
  <c r="X305" i="2"/>
  <c r="V306" i="2"/>
  <c r="W306" i="2"/>
  <c r="X306" i="2"/>
  <c r="V307" i="2"/>
  <c r="W307" i="2"/>
  <c r="X307" i="2"/>
  <c r="V308" i="2"/>
  <c r="W308" i="2"/>
  <c r="X308" i="2"/>
  <c r="V309" i="2"/>
  <c r="W309" i="2"/>
  <c r="X309" i="2"/>
  <c r="V310" i="2"/>
  <c r="W310" i="2"/>
  <c r="X310" i="2"/>
  <c r="V311" i="2"/>
  <c r="W311" i="2"/>
  <c r="X311" i="2"/>
  <c r="V312" i="2"/>
  <c r="W312" i="2"/>
  <c r="X312" i="2"/>
  <c r="V313" i="2"/>
  <c r="W313" i="2"/>
  <c r="X313" i="2"/>
  <c r="V314" i="2"/>
  <c r="W314" i="2"/>
  <c r="X314" i="2"/>
  <c r="V315" i="2"/>
  <c r="W315" i="2"/>
  <c r="X315" i="2"/>
  <c r="V316" i="2"/>
  <c r="W316" i="2"/>
  <c r="X316" i="2"/>
  <c r="V317" i="2"/>
  <c r="W317" i="2"/>
  <c r="X317" i="2"/>
  <c r="V318" i="2"/>
  <c r="W318" i="2"/>
  <c r="X318" i="2"/>
  <c r="V319" i="2"/>
  <c r="W319" i="2"/>
  <c r="X319" i="2"/>
  <c r="V320" i="2"/>
  <c r="W320" i="2"/>
  <c r="X320" i="2"/>
  <c r="V321" i="2"/>
  <c r="W321" i="2"/>
  <c r="X321" i="2"/>
  <c r="V322" i="2"/>
  <c r="W322" i="2"/>
  <c r="X322" i="2"/>
  <c r="V323" i="2"/>
  <c r="W323" i="2"/>
  <c r="X323" i="2"/>
  <c r="V324" i="2"/>
  <c r="W324" i="2"/>
  <c r="X324" i="2"/>
  <c r="V325" i="2"/>
  <c r="W325" i="2"/>
  <c r="X325" i="2"/>
  <c r="V326" i="2"/>
  <c r="W326" i="2"/>
  <c r="X326" i="2"/>
  <c r="V327" i="2"/>
  <c r="W327" i="2"/>
  <c r="X327" i="2"/>
  <c r="V328" i="2"/>
  <c r="W328" i="2"/>
  <c r="X328" i="2"/>
  <c r="V329" i="2"/>
  <c r="W329" i="2"/>
  <c r="X329" i="2"/>
  <c r="V330" i="2"/>
  <c r="W330" i="2"/>
  <c r="X330" i="2"/>
  <c r="V331" i="2"/>
  <c r="W331" i="2"/>
  <c r="X331" i="2"/>
  <c r="V332" i="2"/>
  <c r="W332" i="2"/>
  <c r="X332" i="2"/>
  <c r="V333" i="2"/>
  <c r="W333" i="2"/>
  <c r="X333" i="2"/>
  <c r="V334" i="2"/>
  <c r="W334" i="2"/>
  <c r="X334" i="2"/>
  <c r="V335" i="2"/>
  <c r="W335" i="2"/>
  <c r="X335" i="2"/>
  <c r="V336" i="2"/>
  <c r="W336" i="2"/>
  <c r="X336" i="2"/>
  <c r="V337" i="2"/>
  <c r="W337" i="2"/>
  <c r="X337" i="2"/>
  <c r="V338" i="2"/>
  <c r="W338" i="2"/>
  <c r="X338" i="2"/>
  <c r="V339" i="2"/>
  <c r="W339" i="2"/>
  <c r="X339" i="2"/>
  <c r="V340" i="2"/>
  <c r="W340" i="2"/>
  <c r="X340" i="2"/>
  <c r="V341" i="2"/>
  <c r="W341" i="2"/>
  <c r="X341" i="2"/>
  <c r="V342" i="2"/>
  <c r="W342" i="2"/>
  <c r="X342" i="2"/>
  <c r="V343" i="2"/>
  <c r="W343" i="2"/>
  <c r="X343" i="2"/>
  <c r="V344" i="2"/>
  <c r="W344" i="2"/>
  <c r="X344" i="2"/>
  <c r="V345" i="2"/>
  <c r="W345" i="2"/>
  <c r="X345" i="2"/>
  <c r="V346" i="2"/>
  <c r="W346" i="2"/>
  <c r="X346" i="2"/>
  <c r="V347" i="2"/>
  <c r="W347" i="2"/>
  <c r="X347" i="2"/>
  <c r="V348" i="2"/>
  <c r="W348" i="2"/>
  <c r="X348" i="2"/>
  <c r="V349" i="2"/>
  <c r="W349" i="2"/>
  <c r="X349" i="2"/>
  <c r="V350" i="2"/>
  <c r="W350" i="2"/>
  <c r="X350" i="2"/>
  <c r="V351" i="2"/>
  <c r="W351" i="2"/>
  <c r="X351" i="2"/>
  <c r="V352" i="2"/>
  <c r="W352" i="2"/>
  <c r="X352" i="2"/>
  <c r="V353" i="2"/>
  <c r="W353" i="2"/>
  <c r="X353" i="2"/>
  <c r="V354" i="2"/>
  <c r="W354" i="2"/>
  <c r="X354" i="2"/>
  <c r="V355" i="2"/>
  <c r="W355" i="2"/>
  <c r="X355" i="2"/>
  <c r="V356" i="2"/>
  <c r="W356" i="2"/>
  <c r="X356" i="2"/>
  <c r="V357" i="2"/>
  <c r="W357" i="2"/>
  <c r="X357" i="2"/>
  <c r="V358" i="2"/>
  <c r="W358" i="2"/>
  <c r="X358" i="2"/>
  <c r="V359" i="2"/>
  <c r="W359" i="2"/>
  <c r="X359" i="2"/>
  <c r="V360" i="2"/>
  <c r="W360" i="2"/>
  <c r="X360" i="2"/>
  <c r="V361" i="2"/>
  <c r="W361" i="2"/>
  <c r="X361" i="2"/>
  <c r="V362" i="2"/>
  <c r="W362" i="2"/>
  <c r="X362" i="2"/>
  <c r="V363" i="2"/>
  <c r="W363" i="2"/>
  <c r="X363" i="2"/>
  <c r="V364" i="2"/>
  <c r="W364" i="2"/>
  <c r="X364" i="2"/>
  <c r="V365" i="2"/>
  <c r="W365" i="2"/>
  <c r="X365" i="2"/>
  <c r="V366" i="2"/>
  <c r="W366" i="2"/>
  <c r="X366" i="2"/>
  <c r="V367" i="2"/>
  <c r="W367" i="2"/>
  <c r="X367" i="2"/>
  <c r="V368" i="2"/>
  <c r="W368" i="2"/>
  <c r="X368" i="2"/>
  <c r="V369" i="2"/>
  <c r="W369" i="2"/>
  <c r="X369" i="2"/>
  <c r="V370" i="2"/>
  <c r="W370" i="2"/>
  <c r="X370" i="2"/>
  <c r="V371" i="2"/>
  <c r="W371" i="2"/>
  <c r="X371" i="2"/>
  <c r="V372" i="2"/>
  <c r="W372" i="2"/>
  <c r="X372" i="2"/>
  <c r="V373" i="2"/>
  <c r="W373" i="2"/>
  <c r="X373" i="2"/>
  <c r="V374" i="2"/>
  <c r="W374" i="2"/>
  <c r="X374" i="2"/>
  <c r="V375" i="2"/>
  <c r="W375" i="2"/>
  <c r="X375" i="2"/>
  <c r="X5" i="2"/>
  <c r="V5" i="2"/>
  <c r="JG6" i="2"/>
  <c r="W6" i="2" s="1"/>
  <c r="K6" i="2" s="1"/>
  <c r="JH6" i="2"/>
  <c r="V6" i="2" s="1"/>
  <c r="JG7" i="2"/>
  <c r="W7" i="2" s="1"/>
  <c r="K7" i="2" s="1"/>
  <c r="JH7" i="2"/>
  <c r="JG8" i="2"/>
  <c r="W8" i="2" s="1"/>
  <c r="K8" i="2" s="1"/>
  <c r="JH8" i="2"/>
  <c r="V8" i="2" s="1"/>
  <c r="JG9" i="2"/>
  <c r="W9" i="2" s="1"/>
  <c r="K9" i="2" s="1"/>
  <c r="JH9" i="2"/>
  <c r="JG10" i="2"/>
  <c r="JH10" i="2"/>
  <c r="V10" i="2" s="1"/>
  <c r="JG11" i="2"/>
  <c r="JH11" i="2"/>
  <c r="V11" i="2" s="1"/>
  <c r="JG12" i="2"/>
  <c r="JH12" i="2"/>
  <c r="V12" i="2" s="1"/>
  <c r="JG13" i="2"/>
  <c r="JH13" i="2"/>
  <c r="JG14" i="2"/>
  <c r="JH14" i="2"/>
  <c r="V14" i="2" s="1"/>
  <c r="JG15" i="2"/>
  <c r="JH15" i="2"/>
  <c r="X15" i="2" s="1"/>
  <c r="K15" i="2" s="1"/>
  <c r="JG16" i="2"/>
  <c r="JH16" i="2"/>
  <c r="JG17" i="2"/>
  <c r="JH17" i="2"/>
  <c r="V17" i="2" s="1"/>
  <c r="JG18" i="2"/>
  <c r="X18" i="2" s="1"/>
  <c r="JH18" i="2"/>
  <c r="V18" i="2" s="1"/>
  <c r="JG19" i="2"/>
  <c r="X19" i="2" s="1"/>
  <c r="JH19" i="2"/>
  <c r="JG20" i="2"/>
  <c r="JH20" i="2"/>
  <c r="JG21" i="2"/>
  <c r="JH21" i="2"/>
  <c r="JG22" i="2"/>
  <c r="JH22" i="2"/>
  <c r="JG23" i="2"/>
  <c r="JH23" i="2"/>
  <c r="JG24" i="2"/>
  <c r="JH24" i="2"/>
  <c r="JG25" i="2"/>
  <c r="JH25" i="2"/>
  <c r="JG26" i="2"/>
  <c r="JH26" i="2"/>
  <c r="JG27" i="2"/>
  <c r="JH27" i="2"/>
  <c r="JG28" i="2"/>
  <c r="JH28" i="2"/>
  <c r="JG29" i="2"/>
  <c r="JH29" i="2"/>
  <c r="JG30" i="2"/>
  <c r="JH30" i="2"/>
  <c r="JG31" i="2"/>
  <c r="JH31" i="2"/>
  <c r="JG32" i="2"/>
  <c r="JH32" i="2"/>
  <c r="JG33" i="2"/>
  <c r="JH33" i="2"/>
  <c r="JG34" i="2"/>
  <c r="JH34" i="2"/>
  <c r="JG35" i="2"/>
  <c r="JH35" i="2"/>
  <c r="JG36" i="2"/>
  <c r="JH36" i="2"/>
  <c r="JG37" i="2"/>
  <c r="JH37" i="2"/>
  <c r="JG38" i="2"/>
  <c r="JH38" i="2"/>
  <c r="JG39" i="2"/>
  <c r="JH39" i="2"/>
  <c r="JG40" i="2"/>
  <c r="JH40" i="2"/>
  <c r="JG41" i="2"/>
  <c r="JH41" i="2"/>
  <c r="JG42" i="2"/>
  <c r="JH42" i="2"/>
  <c r="JG43" i="2"/>
  <c r="JH43" i="2"/>
  <c r="JG44" i="2"/>
  <c r="JH44" i="2"/>
  <c r="JG45" i="2"/>
  <c r="JH45" i="2"/>
  <c r="JG46" i="2"/>
  <c r="JH46" i="2"/>
  <c r="JG47" i="2"/>
  <c r="JH47" i="2"/>
  <c r="JG48" i="2"/>
  <c r="JH48" i="2"/>
  <c r="JG49" i="2"/>
  <c r="JH49" i="2"/>
  <c r="JG50" i="2"/>
  <c r="JH50" i="2"/>
  <c r="JG51" i="2"/>
  <c r="JH51" i="2"/>
  <c r="JG52" i="2"/>
  <c r="JH52" i="2"/>
  <c r="JG53" i="2"/>
  <c r="JH53" i="2"/>
  <c r="JG54" i="2"/>
  <c r="JH54" i="2"/>
  <c r="JG55" i="2"/>
  <c r="JH55" i="2"/>
  <c r="JG56" i="2"/>
  <c r="JH56" i="2"/>
  <c r="JG57" i="2"/>
  <c r="JH57" i="2"/>
  <c r="JG58" i="2"/>
  <c r="JH58" i="2"/>
  <c r="JG59" i="2"/>
  <c r="JH59" i="2"/>
  <c r="JG60" i="2"/>
  <c r="JH60" i="2"/>
  <c r="JG61" i="2"/>
  <c r="JH61" i="2"/>
  <c r="JG62" i="2"/>
  <c r="JH62" i="2"/>
  <c r="JG63" i="2"/>
  <c r="JH63" i="2"/>
  <c r="JG64" i="2"/>
  <c r="JH64" i="2"/>
  <c r="JG65" i="2"/>
  <c r="JH65" i="2"/>
  <c r="JG66" i="2"/>
  <c r="JH66" i="2"/>
  <c r="JG67" i="2"/>
  <c r="JH67" i="2"/>
  <c r="JG68" i="2"/>
  <c r="JH68" i="2"/>
  <c r="JG69" i="2"/>
  <c r="JH69" i="2"/>
  <c r="JG70" i="2"/>
  <c r="JH70" i="2"/>
  <c r="JG71" i="2"/>
  <c r="JH71" i="2"/>
  <c r="JG72" i="2"/>
  <c r="JH72" i="2"/>
  <c r="JG73" i="2"/>
  <c r="JH73" i="2"/>
  <c r="JG74" i="2"/>
  <c r="JH74" i="2"/>
  <c r="JG75" i="2"/>
  <c r="JH75" i="2"/>
  <c r="JG76" i="2"/>
  <c r="JH76" i="2"/>
  <c r="JG77" i="2"/>
  <c r="JH77" i="2"/>
  <c r="JG78" i="2"/>
  <c r="JH78" i="2"/>
  <c r="JG79" i="2"/>
  <c r="JH79" i="2"/>
  <c r="JG80" i="2"/>
  <c r="JH80" i="2"/>
  <c r="JG81" i="2"/>
  <c r="JH81" i="2"/>
  <c r="JG82" i="2"/>
  <c r="JH82" i="2"/>
  <c r="JG83" i="2"/>
  <c r="JH83" i="2"/>
  <c r="JG84" i="2"/>
  <c r="JH84" i="2"/>
  <c r="JG85" i="2"/>
  <c r="JH85" i="2"/>
  <c r="JG86" i="2"/>
  <c r="JH86" i="2"/>
  <c r="JG87" i="2"/>
  <c r="JH87" i="2"/>
  <c r="JG88" i="2"/>
  <c r="JH88" i="2"/>
  <c r="JG89" i="2"/>
  <c r="JH89" i="2"/>
  <c r="JG90" i="2"/>
  <c r="JH90" i="2"/>
  <c r="JG91" i="2"/>
  <c r="JH91" i="2"/>
  <c r="JG92" i="2"/>
  <c r="JH92" i="2"/>
  <c r="JG93" i="2"/>
  <c r="JH93" i="2"/>
  <c r="JG94" i="2"/>
  <c r="JH94" i="2"/>
  <c r="JG95" i="2"/>
  <c r="JH95" i="2"/>
  <c r="JG96" i="2"/>
  <c r="JH96" i="2"/>
  <c r="JG97" i="2"/>
  <c r="JH97" i="2"/>
  <c r="JG98" i="2"/>
  <c r="JH98" i="2"/>
  <c r="JG99" i="2"/>
  <c r="JH99" i="2"/>
  <c r="JG100" i="2"/>
  <c r="JH100" i="2"/>
  <c r="JG101" i="2"/>
  <c r="JH101" i="2"/>
  <c r="JG102" i="2"/>
  <c r="JH102" i="2"/>
  <c r="JG103" i="2"/>
  <c r="JH103" i="2"/>
  <c r="JG104" i="2"/>
  <c r="JH104" i="2"/>
  <c r="JG105" i="2"/>
  <c r="JH105" i="2"/>
  <c r="JG106" i="2"/>
  <c r="JH106" i="2"/>
  <c r="JG107" i="2"/>
  <c r="JH107" i="2"/>
  <c r="JG108" i="2"/>
  <c r="JH108" i="2"/>
  <c r="JG109" i="2"/>
  <c r="JH109" i="2"/>
  <c r="JG110" i="2"/>
  <c r="JH110" i="2"/>
  <c r="JG111" i="2"/>
  <c r="JH111" i="2"/>
  <c r="JG112" i="2"/>
  <c r="JH112" i="2"/>
  <c r="JG113" i="2"/>
  <c r="JH113" i="2"/>
  <c r="JG114" i="2"/>
  <c r="JH114" i="2"/>
  <c r="JG115" i="2"/>
  <c r="JH115" i="2"/>
  <c r="JG116" i="2"/>
  <c r="JH116" i="2"/>
  <c r="JG117" i="2"/>
  <c r="JH117" i="2"/>
  <c r="JG118" i="2"/>
  <c r="JH118" i="2"/>
  <c r="JG119" i="2"/>
  <c r="JH119" i="2"/>
  <c r="JG120" i="2"/>
  <c r="JH120" i="2"/>
  <c r="JG121" i="2"/>
  <c r="JH121" i="2"/>
  <c r="JG122" i="2"/>
  <c r="JH122" i="2"/>
  <c r="JG123" i="2"/>
  <c r="JH123" i="2"/>
  <c r="JG124" i="2"/>
  <c r="JH124" i="2"/>
  <c r="JG125" i="2"/>
  <c r="JH125" i="2"/>
  <c r="JG126" i="2"/>
  <c r="JH126" i="2"/>
  <c r="JG127" i="2"/>
  <c r="JH127" i="2"/>
  <c r="JG128" i="2"/>
  <c r="JH128" i="2"/>
  <c r="JG129" i="2"/>
  <c r="JH129" i="2"/>
  <c r="JG130" i="2"/>
  <c r="JH130" i="2"/>
  <c r="JG131" i="2"/>
  <c r="JH131" i="2"/>
  <c r="JG132" i="2"/>
  <c r="JH132" i="2"/>
  <c r="JG133" i="2"/>
  <c r="JH133" i="2"/>
  <c r="JG134" i="2"/>
  <c r="JH134" i="2"/>
  <c r="JG135" i="2"/>
  <c r="JH135" i="2"/>
  <c r="JG136" i="2"/>
  <c r="JH136" i="2"/>
  <c r="JG137" i="2"/>
  <c r="JH137" i="2"/>
  <c r="JG138" i="2"/>
  <c r="JH138" i="2"/>
  <c r="JG139" i="2"/>
  <c r="JH139" i="2"/>
  <c r="JG140" i="2"/>
  <c r="JH140" i="2"/>
  <c r="JG141" i="2"/>
  <c r="JH141" i="2"/>
  <c r="JG142" i="2"/>
  <c r="JH142" i="2"/>
  <c r="JG143" i="2"/>
  <c r="JH143" i="2"/>
  <c r="JG144" i="2"/>
  <c r="JH144" i="2"/>
  <c r="JG145" i="2"/>
  <c r="JH145" i="2"/>
  <c r="JG146" i="2"/>
  <c r="JH146" i="2"/>
  <c r="JG147" i="2"/>
  <c r="JH147" i="2"/>
  <c r="JG148" i="2"/>
  <c r="JH148" i="2"/>
  <c r="JG149" i="2"/>
  <c r="JH149" i="2"/>
  <c r="JG150" i="2"/>
  <c r="JH150" i="2"/>
  <c r="JG151" i="2"/>
  <c r="JH151" i="2"/>
  <c r="JG152" i="2"/>
  <c r="JH152" i="2"/>
  <c r="JG153" i="2"/>
  <c r="JH153" i="2"/>
  <c r="JG154" i="2"/>
  <c r="JH154" i="2"/>
  <c r="JG155" i="2"/>
  <c r="JH155" i="2"/>
  <c r="JG156" i="2"/>
  <c r="JH156" i="2"/>
  <c r="JG157" i="2"/>
  <c r="JH157" i="2"/>
  <c r="JG158" i="2"/>
  <c r="JH158" i="2"/>
  <c r="JG159" i="2"/>
  <c r="JH159" i="2"/>
  <c r="JG160" i="2"/>
  <c r="JH160" i="2"/>
  <c r="JG161" i="2"/>
  <c r="JH161" i="2"/>
  <c r="JG162" i="2"/>
  <c r="JH162" i="2"/>
  <c r="JG163" i="2"/>
  <c r="JH163" i="2"/>
  <c r="JG164" i="2"/>
  <c r="JH164" i="2"/>
  <c r="JG165" i="2"/>
  <c r="JH165" i="2"/>
  <c r="JG166" i="2"/>
  <c r="JH166" i="2"/>
  <c r="JG167" i="2"/>
  <c r="JH167" i="2"/>
  <c r="JG168" i="2"/>
  <c r="JH168" i="2"/>
  <c r="JG169" i="2"/>
  <c r="JH169" i="2"/>
  <c r="JG170" i="2"/>
  <c r="JH170" i="2"/>
  <c r="JG171" i="2"/>
  <c r="JH171" i="2"/>
  <c r="JG172" i="2"/>
  <c r="JH172" i="2"/>
  <c r="JG173" i="2"/>
  <c r="JH173" i="2"/>
  <c r="JG174" i="2"/>
  <c r="JH174" i="2"/>
  <c r="JG175" i="2"/>
  <c r="JH175" i="2"/>
  <c r="JG176" i="2"/>
  <c r="JH176" i="2"/>
  <c r="JG177" i="2"/>
  <c r="JH177" i="2"/>
  <c r="JG178" i="2"/>
  <c r="JH178" i="2"/>
  <c r="JG179" i="2"/>
  <c r="JH179" i="2"/>
  <c r="JG180" i="2"/>
  <c r="JH180" i="2"/>
  <c r="JG181" i="2"/>
  <c r="JH181" i="2"/>
  <c r="JG182" i="2"/>
  <c r="JH182" i="2"/>
  <c r="JG183" i="2"/>
  <c r="JH183" i="2"/>
  <c r="JG184" i="2"/>
  <c r="JH184" i="2"/>
  <c r="JG185" i="2"/>
  <c r="JH185" i="2"/>
  <c r="JG186" i="2"/>
  <c r="JH186" i="2"/>
  <c r="JG187" i="2"/>
  <c r="JH187" i="2"/>
  <c r="JG188" i="2"/>
  <c r="JH188" i="2"/>
  <c r="JG189" i="2"/>
  <c r="JH189" i="2"/>
  <c r="JG190" i="2"/>
  <c r="JH190" i="2"/>
  <c r="JG191" i="2"/>
  <c r="JH191" i="2"/>
  <c r="JG192" i="2"/>
  <c r="JH192" i="2"/>
  <c r="JG193" i="2"/>
  <c r="JH193" i="2"/>
  <c r="JG194" i="2"/>
  <c r="JH194" i="2"/>
  <c r="JG195" i="2"/>
  <c r="JH195" i="2"/>
  <c r="JG196" i="2"/>
  <c r="JH196" i="2"/>
  <c r="JG197" i="2"/>
  <c r="JH197" i="2"/>
  <c r="JG198" i="2"/>
  <c r="JH198" i="2"/>
  <c r="JG199" i="2"/>
  <c r="JH199" i="2"/>
  <c r="JG200" i="2"/>
  <c r="JH200" i="2"/>
  <c r="JG201" i="2"/>
  <c r="JH201" i="2"/>
  <c r="JG202" i="2"/>
  <c r="JH202" i="2"/>
  <c r="JG203" i="2"/>
  <c r="JH203" i="2"/>
  <c r="JG204" i="2"/>
  <c r="JH204" i="2"/>
  <c r="JG205" i="2"/>
  <c r="JH205" i="2"/>
  <c r="JG206" i="2"/>
  <c r="JH206" i="2"/>
  <c r="JG207" i="2"/>
  <c r="JH207" i="2"/>
  <c r="JG208" i="2"/>
  <c r="JH208" i="2"/>
  <c r="JG209" i="2"/>
  <c r="JH209" i="2"/>
  <c r="JG210" i="2"/>
  <c r="JH210" i="2"/>
  <c r="JG211" i="2"/>
  <c r="JH211" i="2"/>
  <c r="JG212" i="2"/>
  <c r="JH212" i="2"/>
  <c r="JG213" i="2"/>
  <c r="JH213" i="2"/>
  <c r="JG214" i="2"/>
  <c r="JH214" i="2"/>
  <c r="JG215" i="2"/>
  <c r="JH215" i="2"/>
  <c r="JG216" i="2"/>
  <c r="JH216" i="2"/>
  <c r="JG217" i="2"/>
  <c r="JH217" i="2"/>
  <c r="JG218" i="2"/>
  <c r="JH218" i="2"/>
  <c r="JG219" i="2"/>
  <c r="JH219" i="2"/>
  <c r="JG220" i="2"/>
  <c r="JH220" i="2"/>
  <c r="JG221" i="2"/>
  <c r="JH221" i="2"/>
  <c r="JG222" i="2"/>
  <c r="JH222" i="2"/>
  <c r="JG223" i="2"/>
  <c r="JH223" i="2"/>
  <c r="JG224" i="2"/>
  <c r="JH224" i="2"/>
  <c r="JG225" i="2"/>
  <c r="JH225" i="2"/>
  <c r="JG226" i="2"/>
  <c r="JH226" i="2"/>
  <c r="JG227" i="2"/>
  <c r="JH227" i="2"/>
  <c r="JG228" i="2"/>
  <c r="JH228" i="2"/>
  <c r="JG229" i="2"/>
  <c r="JH229" i="2"/>
  <c r="JG230" i="2"/>
  <c r="JH230" i="2"/>
  <c r="JG231" i="2"/>
  <c r="JH231" i="2"/>
  <c r="JG232" i="2"/>
  <c r="JH232" i="2"/>
  <c r="JG233" i="2"/>
  <c r="JH233" i="2"/>
  <c r="JG234" i="2"/>
  <c r="JH234" i="2"/>
  <c r="JG235" i="2"/>
  <c r="JH235" i="2"/>
  <c r="JG236" i="2"/>
  <c r="JH236" i="2"/>
  <c r="JG237" i="2"/>
  <c r="JH237" i="2"/>
  <c r="JG238" i="2"/>
  <c r="JH238" i="2"/>
  <c r="JG239" i="2"/>
  <c r="JH239" i="2"/>
  <c r="JG240" i="2"/>
  <c r="JH240" i="2"/>
  <c r="JG241" i="2"/>
  <c r="JH241" i="2"/>
  <c r="JG242" i="2"/>
  <c r="JH242" i="2"/>
  <c r="JG243" i="2"/>
  <c r="JH243" i="2"/>
  <c r="JG244" i="2"/>
  <c r="JH244" i="2"/>
  <c r="JG245" i="2"/>
  <c r="JH245" i="2"/>
  <c r="JG246" i="2"/>
  <c r="JH246" i="2"/>
  <c r="JG247" i="2"/>
  <c r="JH247" i="2"/>
  <c r="JG248" i="2"/>
  <c r="JH248" i="2"/>
  <c r="JG249" i="2"/>
  <c r="JH249" i="2"/>
  <c r="JG250" i="2"/>
  <c r="JH250" i="2"/>
  <c r="JG251" i="2"/>
  <c r="JH251" i="2"/>
  <c r="JG252" i="2"/>
  <c r="JH252" i="2"/>
  <c r="JG253" i="2"/>
  <c r="JH253" i="2"/>
  <c r="JG254" i="2"/>
  <c r="JH254" i="2"/>
  <c r="JG255" i="2"/>
  <c r="JH255" i="2"/>
  <c r="JG256" i="2"/>
  <c r="JH256" i="2"/>
  <c r="JG257" i="2"/>
  <c r="JH257" i="2"/>
  <c r="JG258" i="2"/>
  <c r="JH258" i="2"/>
  <c r="JG259" i="2"/>
  <c r="JH259" i="2"/>
  <c r="JG260" i="2"/>
  <c r="JH260" i="2"/>
  <c r="JG261" i="2"/>
  <c r="JH261" i="2"/>
  <c r="JG262" i="2"/>
  <c r="JH262" i="2"/>
  <c r="JG263" i="2"/>
  <c r="JH263" i="2"/>
  <c r="JG264" i="2"/>
  <c r="JH264" i="2"/>
  <c r="JG265" i="2"/>
  <c r="JH265" i="2"/>
  <c r="JG266" i="2"/>
  <c r="JH266" i="2"/>
  <c r="JG267" i="2"/>
  <c r="JH267" i="2"/>
  <c r="JG268" i="2"/>
  <c r="JH268" i="2"/>
  <c r="JG269" i="2"/>
  <c r="JH269" i="2"/>
  <c r="JG270" i="2"/>
  <c r="JH270" i="2"/>
  <c r="JG271" i="2"/>
  <c r="JH271" i="2"/>
  <c r="JG272" i="2"/>
  <c r="JH272" i="2"/>
  <c r="JG273" i="2"/>
  <c r="JH273" i="2"/>
  <c r="JG274" i="2"/>
  <c r="JH274" i="2"/>
  <c r="JG275" i="2"/>
  <c r="JH275" i="2"/>
  <c r="JG276" i="2"/>
  <c r="JH276" i="2"/>
  <c r="JG277" i="2"/>
  <c r="JH277" i="2"/>
  <c r="JG278" i="2"/>
  <c r="JH278" i="2"/>
  <c r="JG279" i="2"/>
  <c r="JH279" i="2"/>
  <c r="JG280" i="2"/>
  <c r="JH280" i="2"/>
  <c r="JG281" i="2"/>
  <c r="JH281" i="2"/>
  <c r="JG282" i="2"/>
  <c r="JH282" i="2"/>
  <c r="JG283" i="2"/>
  <c r="JH283" i="2"/>
  <c r="JG284" i="2"/>
  <c r="JH284" i="2"/>
  <c r="JG285" i="2"/>
  <c r="JH285" i="2"/>
  <c r="JG286" i="2"/>
  <c r="JH286" i="2"/>
  <c r="JG287" i="2"/>
  <c r="JH287" i="2"/>
  <c r="JG288" i="2"/>
  <c r="JH288" i="2"/>
  <c r="JG289" i="2"/>
  <c r="JH289" i="2"/>
  <c r="JG290" i="2"/>
  <c r="JH290" i="2"/>
  <c r="JG291" i="2"/>
  <c r="JH291" i="2"/>
  <c r="JG292" i="2"/>
  <c r="JH292" i="2"/>
  <c r="JG293" i="2"/>
  <c r="JH293" i="2"/>
  <c r="JG294" i="2"/>
  <c r="JH294" i="2"/>
  <c r="JG295" i="2"/>
  <c r="JH295" i="2"/>
  <c r="JG296" i="2"/>
  <c r="JH296" i="2"/>
  <c r="JG297" i="2"/>
  <c r="JH297" i="2"/>
  <c r="JG298" i="2"/>
  <c r="JH298" i="2"/>
  <c r="JG299" i="2"/>
  <c r="JH299" i="2"/>
  <c r="JG300" i="2"/>
  <c r="JH300" i="2"/>
  <c r="JG301" i="2"/>
  <c r="JH301" i="2"/>
  <c r="JG302" i="2"/>
  <c r="JH302" i="2"/>
  <c r="JG303" i="2"/>
  <c r="JH303" i="2"/>
  <c r="JG304" i="2"/>
  <c r="JH304" i="2"/>
  <c r="JG305" i="2"/>
  <c r="JH305" i="2"/>
  <c r="JG306" i="2"/>
  <c r="JH306" i="2"/>
  <c r="JG307" i="2"/>
  <c r="JH307" i="2"/>
  <c r="JG308" i="2"/>
  <c r="JH308" i="2"/>
  <c r="JG309" i="2"/>
  <c r="JH309" i="2"/>
  <c r="JG310" i="2"/>
  <c r="JH310" i="2"/>
  <c r="JG311" i="2"/>
  <c r="JH311" i="2"/>
  <c r="JG312" i="2"/>
  <c r="JH312" i="2"/>
  <c r="JG313" i="2"/>
  <c r="JH313" i="2"/>
  <c r="JG314" i="2"/>
  <c r="JH314" i="2"/>
  <c r="JG315" i="2"/>
  <c r="JH315" i="2"/>
  <c r="JG316" i="2"/>
  <c r="JH316" i="2"/>
  <c r="JG317" i="2"/>
  <c r="JH317" i="2"/>
  <c r="JG318" i="2"/>
  <c r="JH318" i="2"/>
  <c r="JG319" i="2"/>
  <c r="JH319" i="2"/>
  <c r="JG320" i="2"/>
  <c r="JH320" i="2"/>
  <c r="JG321" i="2"/>
  <c r="JH321" i="2"/>
  <c r="JG322" i="2"/>
  <c r="JH322" i="2"/>
  <c r="JG323" i="2"/>
  <c r="JH323" i="2"/>
  <c r="JG324" i="2"/>
  <c r="JH324" i="2"/>
  <c r="JG325" i="2"/>
  <c r="JH325" i="2"/>
  <c r="JG326" i="2"/>
  <c r="JH326" i="2"/>
  <c r="JG327" i="2"/>
  <c r="JH327" i="2"/>
  <c r="JG328" i="2"/>
  <c r="JH328" i="2"/>
  <c r="JG329" i="2"/>
  <c r="JH329" i="2"/>
  <c r="JG330" i="2"/>
  <c r="JH330" i="2"/>
  <c r="JG331" i="2"/>
  <c r="JH331" i="2"/>
  <c r="JG332" i="2"/>
  <c r="JH332" i="2"/>
  <c r="JG333" i="2"/>
  <c r="JH333" i="2"/>
  <c r="JG334" i="2"/>
  <c r="JH334" i="2"/>
  <c r="JG335" i="2"/>
  <c r="JH335" i="2"/>
  <c r="JG336" i="2"/>
  <c r="JH336" i="2"/>
  <c r="JG337" i="2"/>
  <c r="JH337" i="2"/>
  <c r="JG338" i="2"/>
  <c r="JH338" i="2"/>
  <c r="JG339" i="2"/>
  <c r="JH339" i="2"/>
  <c r="JG340" i="2"/>
  <c r="JH340" i="2"/>
  <c r="JG341" i="2"/>
  <c r="JH341" i="2"/>
  <c r="JG342" i="2"/>
  <c r="JH342" i="2"/>
  <c r="JG343" i="2"/>
  <c r="JH343" i="2"/>
  <c r="JG344" i="2"/>
  <c r="JH344" i="2"/>
  <c r="JG345" i="2"/>
  <c r="JH345" i="2"/>
  <c r="JG346" i="2"/>
  <c r="JH346" i="2"/>
  <c r="JG347" i="2"/>
  <c r="JH347" i="2"/>
  <c r="JG348" i="2"/>
  <c r="JH348" i="2"/>
  <c r="JG349" i="2"/>
  <c r="JH349" i="2"/>
  <c r="JG350" i="2"/>
  <c r="JH350" i="2"/>
  <c r="JG351" i="2"/>
  <c r="JH351" i="2"/>
  <c r="JG352" i="2"/>
  <c r="JH352" i="2"/>
  <c r="JG353" i="2"/>
  <c r="JH353" i="2"/>
  <c r="JG354" i="2"/>
  <c r="JH354" i="2"/>
  <c r="JG355" i="2"/>
  <c r="JH355" i="2"/>
  <c r="JG356" i="2"/>
  <c r="JH356" i="2"/>
  <c r="JG357" i="2"/>
  <c r="JH357" i="2"/>
  <c r="JG358" i="2"/>
  <c r="JH358" i="2"/>
  <c r="JG359" i="2"/>
  <c r="JH359" i="2"/>
  <c r="JG360" i="2"/>
  <c r="JH360" i="2"/>
  <c r="JG361" i="2"/>
  <c r="JH361" i="2"/>
  <c r="JG362" i="2"/>
  <c r="JH362" i="2"/>
  <c r="JG363" i="2"/>
  <c r="JH363" i="2"/>
  <c r="JG364" i="2"/>
  <c r="JH364" i="2"/>
  <c r="JG365" i="2"/>
  <c r="JH365" i="2"/>
  <c r="JG366" i="2"/>
  <c r="JH366" i="2"/>
  <c r="JG367" i="2"/>
  <c r="JH367" i="2"/>
  <c r="JG368" i="2"/>
  <c r="JH368" i="2"/>
  <c r="JG369" i="2"/>
  <c r="JH369" i="2"/>
  <c r="JG370" i="2"/>
  <c r="JH370" i="2"/>
  <c r="JG371" i="2"/>
  <c r="JH371" i="2"/>
  <c r="JG372" i="2"/>
  <c r="JH372" i="2"/>
  <c r="JG373" i="2"/>
  <c r="JH373" i="2"/>
  <c r="JG374" i="2"/>
  <c r="JH374" i="2"/>
  <c r="JG375" i="2"/>
  <c r="JH375" i="2"/>
  <c r="JH5" i="2"/>
  <c r="JG5" i="2"/>
  <c r="W5" i="2" s="1"/>
  <c r="K5" i="2" s="1"/>
  <c r="K10" i="2"/>
  <c r="K14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X21" i="2" l="1"/>
  <c r="X20" i="2"/>
  <c r="X17" i="2"/>
  <c r="X16" i="2"/>
  <c r="K16" i="2" s="1"/>
  <c r="P2" i="2"/>
  <c r="M203" i="2" s="1"/>
  <c r="N203" i="2" s="1"/>
  <c r="M8" i="2" l="1"/>
  <c r="N8" i="2" s="1"/>
  <c r="M6" i="2"/>
  <c r="N6" i="2" s="1"/>
  <c r="M9" i="2"/>
  <c r="M5" i="2"/>
  <c r="M7" i="2"/>
  <c r="N7" i="2" s="1"/>
  <c r="M280" i="2"/>
  <c r="N280" i="2" s="1"/>
  <c r="M14" i="2"/>
  <c r="M303" i="2"/>
  <c r="N303" i="2" s="1"/>
  <c r="M275" i="2"/>
  <c r="N275" i="2" s="1"/>
  <c r="M127" i="2"/>
  <c r="N127" i="2" s="1"/>
  <c r="M193" i="2"/>
  <c r="N193" i="2" s="1"/>
  <c r="M70" i="2"/>
  <c r="N70" i="2" s="1"/>
  <c r="M360" i="2"/>
  <c r="N360" i="2" s="1"/>
  <c r="M330" i="2"/>
  <c r="N330" i="2" s="1"/>
  <c r="M219" i="2"/>
  <c r="N219" i="2" s="1"/>
  <c r="M237" i="2"/>
  <c r="N237" i="2" s="1"/>
  <c r="M30" i="2"/>
  <c r="N30" i="2" s="1"/>
  <c r="M190" i="2"/>
  <c r="N190" i="2" s="1"/>
  <c r="M171" i="2"/>
  <c r="N171" i="2" s="1"/>
  <c r="M40" i="2"/>
  <c r="N40" i="2" s="1"/>
  <c r="M368" i="2"/>
  <c r="N368" i="2" s="1"/>
  <c r="M95" i="2"/>
  <c r="N95" i="2" s="1"/>
  <c r="M161" i="2"/>
  <c r="N161" i="2" s="1"/>
  <c r="M55" i="2"/>
  <c r="N55" i="2" s="1"/>
  <c r="M374" i="2"/>
  <c r="N374" i="2" s="1"/>
  <c r="M150" i="2"/>
  <c r="N150" i="2" s="1"/>
  <c r="M58" i="2"/>
  <c r="N58" i="2" s="1"/>
  <c r="M248" i="2"/>
  <c r="N248" i="2" s="1"/>
  <c r="M159" i="2"/>
  <c r="N159" i="2" s="1"/>
  <c r="M112" i="2"/>
  <c r="N112" i="2" s="1"/>
  <c r="M76" i="2"/>
  <c r="N76" i="2" s="1"/>
  <c r="M33" i="2"/>
  <c r="N33" i="2" s="1"/>
  <c r="M189" i="2"/>
  <c r="N189" i="2" s="1"/>
  <c r="M220" i="2"/>
  <c r="N220" i="2" s="1"/>
  <c r="M226" i="2"/>
  <c r="N226" i="2" s="1"/>
  <c r="M214" i="2"/>
  <c r="N214" i="2" s="1"/>
  <c r="M73" i="2"/>
  <c r="N73" i="2" s="1"/>
  <c r="M325" i="2"/>
  <c r="N325" i="2" s="1"/>
  <c r="M204" i="2"/>
  <c r="N204" i="2" s="1"/>
  <c r="M355" i="2"/>
  <c r="N355" i="2" s="1"/>
  <c r="M216" i="2"/>
  <c r="N216" i="2" s="1"/>
  <c r="M84" i="2"/>
  <c r="N84" i="2" s="1"/>
  <c r="M336" i="2"/>
  <c r="N336" i="2" s="1"/>
  <c r="M194" i="2"/>
  <c r="N194" i="2" s="1"/>
  <c r="M28" i="2"/>
  <c r="N28" i="2" s="1"/>
  <c r="M29" i="2"/>
  <c r="N29" i="2" s="1"/>
  <c r="M59" i="2"/>
  <c r="N59" i="2" s="1"/>
  <c r="M167" i="2"/>
  <c r="N167" i="2" s="1"/>
  <c r="M160" i="2"/>
  <c r="N160" i="2" s="1"/>
  <c r="M141" i="2"/>
  <c r="N141" i="2" s="1"/>
  <c r="M270" i="2"/>
  <c r="N270" i="2" s="1"/>
  <c r="M334" i="2"/>
  <c r="N334" i="2" s="1"/>
  <c r="M344" i="2"/>
  <c r="N344" i="2" s="1"/>
  <c r="M121" i="2"/>
  <c r="N121" i="2" s="1"/>
  <c r="M244" i="2"/>
  <c r="N244" i="2" s="1"/>
  <c r="M180" i="2"/>
  <c r="N180" i="2" s="1"/>
  <c r="M98" i="2"/>
  <c r="N98" i="2" s="1"/>
  <c r="M289" i="2"/>
  <c r="N289" i="2" s="1"/>
  <c r="M369" i="2"/>
  <c r="N369" i="2" s="1"/>
  <c r="M277" i="2"/>
  <c r="N277" i="2" s="1"/>
  <c r="M206" i="2"/>
  <c r="N206" i="2" s="1"/>
  <c r="M212" i="2"/>
  <c r="N212" i="2" s="1"/>
  <c r="M41" i="2"/>
  <c r="N41" i="2" s="1"/>
  <c r="M139" i="2"/>
  <c r="N139" i="2" s="1"/>
  <c r="M62" i="2"/>
  <c r="N62" i="2" s="1"/>
  <c r="M324" i="2"/>
  <c r="N324" i="2" s="1"/>
  <c r="M15" i="2"/>
  <c r="N15" i="2" s="1"/>
  <c r="M149" i="2"/>
  <c r="N149" i="2" s="1"/>
  <c r="M331" i="2"/>
  <c r="N331" i="2" s="1"/>
  <c r="M25" i="2"/>
  <c r="N25" i="2" s="1"/>
  <c r="M170" i="2"/>
  <c r="N170" i="2" s="1"/>
  <c r="M311" i="2"/>
  <c r="N311" i="2" s="1"/>
  <c r="M340" i="2"/>
  <c r="N340" i="2" s="1"/>
  <c r="M200" i="2"/>
  <c r="N200" i="2" s="1"/>
  <c r="M273" i="2"/>
  <c r="N273" i="2" s="1"/>
  <c r="M120" i="2"/>
  <c r="N120" i="2" s="1"/>
  <c r="M90" i="2"/>
  <c r="N90" i="2" s="1"/>
  <c r="M288" i="2"/>
  <c r="N288" i="2" s="1"/>
  <c r="M136" i="2"/>
  <c r="N136" i="2" s="1"/>
  <c r="M333" i="2"/>
  <c r="N333" i="2" s="1"/>
  <c r="M54" i="2"/>
  <c r="N54" i="2" s="1"/>
  <c r="M67" i="2"/>
  <c r="N67" i="2" s="1"/>
  <c r="M358" i="2"/>
  <c r="N358" i="2" s="1"/>
  <c r="M322" i="2"/>
  <c r="N322" i="2" s="1"/>
  <c r="M107" i="2"/>
  <c r="N107" i="2" s="1"/>
  <c r="M71" i="2"/>
  <c r="N71" i="2" s="1"/>
  <c r="M375" i="2"/>
  <c r="N375" i="2" s="1"/>
  <c r="M36" i="2"/>
  <c r="N36" i="2" s="1"/>
  <c r="M92" i="2"/>
  <c r="N92" i="2" s="1"/>
  <c r="M163" i="2"/>
  <c r="N163" i="2" s="1"/>
  <c r="M118" i="2"/>
  <c r="N118" i="2" s="1"/>
  <c r="M111" i="2"/>
  <c r="N111" i="2" s="1"/>
  <c r="M263" i="2"/>
  <c r="N263" i="2" s="1"/>
  <c r="M119" i="2"/>
  <c r="N119" i="2" s="1"/>
  <c r="M343" i="2"/>
  <c r="N343" i="2" s="1"/>
  <c r="M74" i="2"/>
  <c r="N74" i="2" s="1"/>
  <c r="M89" i="2"/>
  <c r="N89" i="2" s="1"/>
  <c r="M155" i="2"/>
  <c r="N155" i="2" s="1"/>
  <c r="M104" i="2"/>
  <c r="N104" i="2" s="1"/>
  <c r="M207" i="2"/>
  <c r="N207" i="2" s="1"/>
  <c r="M43" i="2"/>
  <c r="N43" i="2" s="1"/>
  <c r="M225" i="2"/>
  <c r="N225" i="2" s="1"/>
  <c r="M314" i="2"/>
  <c r="N314" i="2" s="1"/>
  <c r="M256" i="2"/>
  <c r="N256" i="2" s="1"/>
  <c r="M310" i="2"/>
  <c r="N310" i="2" s="1"/>
  <c r="M296" i="2"/>
  <c r="N296" i="2" s="1"/>
  <c r="M134" i="2"/>
  <c r="N134" i="2" s="1"/>
  <c r="M290" i="2"/>
  <c r="N290" i="2" s="1"/>
  <c r="M317" i="2"/>
  <c r="N317" i="2" s="1"/>
  <c r="M178" i="2"/>
  <c r="N178" i="2" s="1"/>
  <c r="M132" i="2"/>
  <c r="N132" i="2" s="1"/>
  <c r="M246" i="2"/>
  <c r="N246" i="2" s="1"/>
  <c r="M72" i="2"/>
  <c r="N72" i="2" s="1"/>
  <c r="M297" i="2"/>
  <c r="N297" i="2" s="1"/>
  <c r="M304" i="2"/>
  <c r="N304" i="2" s="1"/>
  <c r="M88" i="2"/>
  <c r="N88" i="2" s="1"/>
  <c r="M124" i="2"/>
  <c r="N124" i="2" s="1"/>
  <c r="M131" i="2"/>
  <c r="N131" i="2" s="1"/>
  <c r="M44" i="2"/>
  <c r="N44" i="2" s="1"/>
  <c r="M201" i="2"/>
  <c r="N201" i="2" s="1"/>
  <c r="M13" i="2"/>
  <c r="N13" i="2" s="1"/>
  <c r="M191" i="2"/>
  <c r="N191" i="2" s="1"/>
  <c r="M199" i="2"/>
  <c r="N199" i="2" s="1"/>
  <c r="M11" i="2"/>
  <c r="N11" i="2" s="1"/>
  <c r="M147" i="2"/>
  <c r="N147" i="2" s="1"/>
  <c r="M157" i="2"/>
  <c r="N157" i="2" s="1"/>
  <c r="M158" i="2"/>
  <c r="N158" i="2" s="1"/>
  <c r="M80" i="2"/>
  <c r="N80" i="2" s="1"/>
  <c r="M61" i="2"/>
  <c r="N61" i="2" s="1"/>
  <c r="M184" i="2"/>
  <c r="N184" i="2" s="1"/>
  <c r="M213" i="2"/>
  <c r="N213" i="2" s="1"/>
  <c r="M151" i="2"/>
  <c r="N151" i="2" s="1"/>
  <c r="M186" i="2"/>
  <c r="N186" i="2" s="1"/>
  <c r="M363" i="2"/>
  <c r="N363" i="2" s="1"/>
  <c r="M294" i="2"/>
  <c r="N294" i="2" s="1"/>
  <c r="M85" i="2"/>
  <c r="N85" i="2" s="1"/>
  <c r="M130" i="2"/>
  <c r="N130" i="2" s="1"/>
  <c r="M284" i="2"/>
  <c r="N284" i="2" s="1"/>
  <c r="M34" i="2"/>
  <c r="N34" i="2" s="1"/>
  <c r="M349" i="2"/>
  <c r="N349" i="2" s="1"/>
  <c r="M64" i="2"/>
  <c r="N64" i="2" s="1"/>
  <c r="M108" i="2"/>
  <c r="N108" i="2" s="1"/>
  <c r="M144" i="2"/>
  <c r="N144" i="2" s="1"/>
  <c r="M166" i="2"/>
  <c r="N166" i="2" s="1"/>
  <c r="M188" i="2"/>
  <c r="N188" i="2" s="1"/>
  <c r="M254" i="2"/>
  <c r="N254" i="2" s="1"/>
  <c r="M364" i="2"/>
  <c r="N364" i="2" s="1"/>
  <c r="M196" i="2"/>
  <c r="N196" i="2" s="1"/>
  <c r="M239" i="2"/>
  <c r="N239" i="2" s="1"/>
  <c r="M305" i="2"/>
  <c r="N305" i="2" s="1"/>
  <c r="M327" i="2"/>
  <c r="N327" i="2" s="1"/>
  <c r="M371" i="2"/>
  <c r="N371" i="2" s="1"/>
  <c r="M42" i="2"/>
  <c r="N42" i="2" s="1"/>
  <c r="M240" i="2"/>
  <c r="N240" i="2" s="1"/>
  <c r="M350" i="2"/>
  <c r="N350" i="2" s="1"/>
  <c r="M56" i="2"/>
  <c r="N56" i="2" s="1"/>
  <c r="M210" i="2"/>
  <c r="N210" i="2" s="1"/>
  <c r="M232" i="2"/>
  <c r="N232" i="2" s="1"/>
  <c r="M173" i="2"/>
  <c r="N173" i="2" s="1"/>
  <c r="M195" i="2"/>
  <c r="N195" i="2" s="1"/>
  <c r="M217" i="2"/>
  <c r="N217" i="2" s="1"/>
  <c r="M261" i="2"/>
  <c r="N261" i="2" s="1"/>
  <c r="M283" i="2"/>
  <c r="N283" i="2" s="1"/>
  <c r="M342" i="2"/>
  <c r="N342" i="2" s="1"/>
  <c r="M86" i="2"/>
  <c r="N86" i="2" s="1"/>
  <c r="M328" i="2"/>
  <c r="N328" i="2" s="1"/>
  <c r="M320" i="2"/>
  <c r="N320" i="2" s="1"/>
  <c r="M218" i="2"/>
  <c r="N218" i="2" s="1"/>
  <c r="M306" i="2"/>
  <c r="N306" i="2" s="1"/>
  <c r="M372" i="2"/>
  <c r="N372" i="2" s="1"/>
  <c r="M122" i="2"/>
  <c r="N122" i="2" s="1"/>
  <c r="M152" i="2"/>
  <c r="N152" i="2" s="1"/>
  <c r="M174" i="2"/>
  <c r="N174" i="2" s="1"/>
  <c r="M262" i="2"/>
  <c r="N262" i="2" s="1"/>
  <c r="M100" i="2"/>
  <c r="N100" i="2" s="1"/>
  <c r="M276" i="2"/>
  <c r="N276" i="2" s="1"/>
  <c r="M17" i="2"/>
  <c r="N17" i="2" s="1"/>
  <c r="M78" i="2"/>
  <c r="N78" i="2" s="1"/>
  <c r="M298" i="2"/>
  <c r="N298" i="2" s="1"/>
  <c r="M335" i="2"/>
  <c r="N335" i="2" s="1"/>
  <c r="M96" i="2"/>
  <c r="N96" i="2" s="1"/>
  <c r="M367" i="2"/>
  <c r="N367" i="2" s="1"/>
  <c r="M75" i="2"/>
  <c r="N75" i="2" s="1"/>
  <c r="M278" i="2"/>
  <c r="N278" i="2" s="1"/>
  <c r="M241" i="2"/>
  <c r="N241" i="2" s="1"/>
  <c r="M231" i="2"/>
  <c r="N231" i="2" s="1"/>
  <c r="M300" i="2"/>
  <c r="N300" i="2" s="1"/>
  <c r="M269" i="2"/>
  <c r="N269" i="2" s="1"/>
  <c r="M329" i="2"/>
  <c r="N329" i="2" s="1"/>
  <c r="M242" i="2"/>
  <c r="N242" i="2" s="1"/>
  <c r="M169" i="2"/>
  <c r="N169" i="2" s="1"/>
  <c r="M326" i="2"/>
  <c r="N326" i="2" s="1"/>
  <c r="M233" i="2"/>
  <c r="N233" i="2" s="1"/>
  <c r="M299" i="2"/>
  <c r="N299" i="2" s="1"/>
  <c r="M250" i="2"/>
  <c r="N250" i="2" s="1"/>
  <c r="M247" i="2"/>
  <c r="N247" i="2" s="1"/>
  <c r="M259" i="2"/>
  <c r="N259" i="2" s="1"/>
  <c r="M97" i="2"/>
  <c r="N97" i="2" s="1"/>
  <c r="M93" i="2"/>
  <c r="N93" i="2" s="1"/>
  <c r="M113" i="2"/>
  <c r="N113" i="2" s="1"/>
  <c r="M215" i="2"/>
  <c r="N215" i="2" s="1"/>
  <c r="M123" i="2"/>
  <c r="N123" i="2" s="1"/>
  <c r="M47" i="2"/>
  <c r="N47" i="2" s="1"/>
  <c r="M10" i="2"/>
  <c r="N10" i="2" s="1"/>
  <c r="M187" i="2"/>
  <c r="N187" i="2" s="1"/>
  <c r="M197" i="2"/>
  <c r="N197" i="2" s="1"/>
  <c r="M102" i="2"/>
  <c r="N102" i="2" s="1"/>
  <c r="M243" i="2"/>
  <c r="N243" i="2" s="1"/>
  <c r="M315" i="2"/>
  <c r="N315" i="2" s="1"/>
  <c r="M99" i="2"/>
  <c r="N99" i="2" s="1"/>
  <c r="M295" i="2"/>
  <c r="N295" i="2" s="1"/>
  <c r="M321" i="2"/>
  <c r="N321" i="2" s="1"/>
  <c r="M223" i="2"/>
  <c r="N223" i="2" s="1"/>
  <c r="M65" i="2"/>
  <c r="N65" i="2" s="1"/>
  <c r="M202" i="2"/>
  <c r="N202" i="2" s="1"/>
  <c r="M370" i="2"/>
  <c r="N370" i="2" s="1"/>
  <c r="M252" i="2"/>
  <c r="N252" i="2" s="1"/>
  <c r="M208" i="2"/>
  <c r="N208" i="2" s="1"/>
  <c r="M172" i="2"/>
  <c r="N172" i="2" s="1"/>
  <c r="M229" i="2"/>
  <c r="N229" i="2" s="1"/>
  <c r="M146" i="2"/>
  <c r="N146" i="2" s="1"/>
  <c r="M126" i="2"/>
  <c r="N126" i="2" s="1"/>
  <c r="M281" i="2"/>
  <c r="N281" i="2" s="1"/>
  <c r="M271" i="2"/>
  <c r="N271" i="2" s="1"/>
  <c r="M302" i="2"/>
  <c r="N302" i="2" s="1"/>
  <c r="M353" i="2"/>
  <c r="N353" i="2" s="1"/>
  <c r="M313" i="2"/>
  <c r="N313" i="2" s="1"/>
  <c r="M228" i="2"/>
  <c r="N228" i="2" s="1"/>
  <c r="M319" i="2"/>
  <c r="N319" i="2" s="1"/>
  <c r="M116" i="2"/>
  <c r="N116" i="2" s="1"/>
  <c r="M77" i="2"/>
  <c r="N77" i="2" s="1"/>
  <c r="M209" i="2"/>
  <c r="N209" i="2" s="1"/>
  <c r="M316" i="2"/>
  <c r="N316" i="2" s="1"/>
  <c r="M181" i="2"/>
  <c r="N181" i="2" s="1"/>
  <c r="M267" i="2"/>
  <c r="N267" i="2" s="1"/>
  <c r="M332" i="2"/>
  <c r="N332" i="2" s="1"/>
  <c r="M26" i="2"/>
  <c r="N26" i="2" s="1"/>
  <c r="M346" i="2"/>
  <c r="N346" i="2" s="1"/>
  <c r="M268" i="2"/>
  <c r="N268" i="2" s="1"/>
  <c r="M57" i="2"/>
  <c r="N57" i="2" s="1"/>
  <c r="M182" i="2"/>
  <c r="N182" i="2" s="1"/>
  <c r="M292" i="2"/>
  <c r="N292" i="2" s="1"/>
  <c r="M52" i="2"/>
  <c r="N52" i="2" s="1"/>
  <c r="M115" i="2"/>
  <c r="N115" i="2" s="1"/>
  <c r="M145" i="2"/>
  <c r="N145" i="2" s="1"/>
  <c r="M109" i="2"/>
  <c r="N109" i="2" s="1"/>
  <c r="M301" i="2"/>
  <c r="N301" i="2" s="1"/>
  <c r="M24" i="2"/>
  <c r="N24" i="2" s="1"/>
  <c r="M249" i="2"/>
  <c r="N249" i="2" s="1"/>
  <c r="M279" i="2"/>
  <c r="N279" i="2" s="1"/>
  <c r="M162" i="2"/>
  <c r="N162" i="2" s="1"/>
  <c r="M31" i="2"/>
  <c r="N31" i="2" s="1"/>
  <c r="M128" i="2"/>
  <c r="N128" i="2" s="1"/>
  <c r="M366" i="2"/>
  <c r="N366" i="2" s="1"/>
  <c r="M230" i="2"/>
  <c r="N230" i="2" s="1"/>
  <c r="M257" i="2"/>
  <c r="N257" i="2" s="1"/>
  <c r="M21" i="2"/>
  <c r="N21" i="2" s="1"/>
  <c r="M309" i="2"/>
  <c r="N309" i="2" s="1"/>
  <c r="M235" i="2"/>
  <c r="N235" i="2" s="1"/>
  <c r="M211" i="2"/>
  <c r="N211" i="2" s="1"/>
  <c r="M255" i="2"/>
  <c r="N255" i="2" s="1"/>
  <c r="M53" i="2"/>
  <c r="N53" i="2" s="1"/>
  <c r="M94" i="2"/>
  <c r="N94" i="2" s="1"/>
  <c r="M312" i="2"/>
  <c r="N312" i="2" s="1"/>
  <c r="M87" i="2"/>
  <c r="N87" i="2" s="1"/>
  <c r="M142" i="2"/>
  <c r="N142" i="2" s="1"/>
  <c r="M222" i="2"/>
  <c r="N222" i="2" s="1"/>
  <c r="M274" i="2"/>
  <c r="N274" i="2" s="1"/>
  <c r="M185" i="2"/>
  <c r="N185" i="2" s="1"/>
  <c r="M260" i="2"/>
  <c r="N260" i="2" s="1"/>
  <c r="M205" i="2"/>
  <c r="N205" i="2" s="1"/>
  <c r="M251" i="2"/>
  <c r="N251" i="2" s="1"/>
  <c r="M129" i="2"/>
  <c r="N129" i="2" s="1"/>
  <c r="M19" i="2"/>
  <c r="N19" i="2" s="1"/>
  <c r="M50" i="2"/>
  <c r="N50" i="2" s="1"/>
  <c r="M82" i="2"/>
  <c r="N82" i="2" s="1"/>
  <c r="M245" i="2"/>
  <c r="N245" i="2" s="1"/>
  <c r="M176" i="2"/>
  <c r="N176" i="2" s="1"/>
  <c r="M365" i="2"/>
  <c r="N365" i="2" s="1"/>
  <c r="M48" i="2"/>
  <c r="N48" i="2" s="1"/>
  <c r="M287" i="2"/>
  <c r="N287" i="2" s="1"/>
  <c r="M183" i="2"/>
  <c r="N183" i="2" s="1"/>
  <c r="M264" i="2"/>
  <c r="N264" i="2" s="1"/>
  <c r="M224" i="2"/>
  <c r="N224" i="2" s="1"/>
  <c r="M46" i="2"/>
  <c r="N46" i="2" s="1"/>
  <c r="M272" i="2"/>
  <c r="N272" i="2" s="1"/>
  <c r="M286" i="2"/>
  <c r="N286" i="2" s="1"/>
  <c r="M38" i="2"/>
  <c r="N38" i="2" s="1"/>
  <c r="M338" i="2"/>
  <c r="N338" i="2" s="1"/>
  <c r="M356" i="2"/>
  <c r="N356" i="2" s="1"/>
  <c r="M293" i="2"/>
  <c r="N293" i="2" s="1"/>
  <c r="M198" i="2"/>
  <c r="N198" i="2" s="1"/>
  <c r="M168" i="2"/>
  <c r="N168" i="2" s="1"/>
  <c r="M32" i="2"/>
  <c r="N32" i="2" s="1"/>
  <c r="M164" i="2"/>
  <c r="N164" i="2" s="1"/>
  <c r="M179" i="2"/>
  <c r="N179" i="2" s="1"/>
  <c r="M236" i="2"/>
  <c r="N236" i="2" s="1"/>
  <c r="M156" i="2"/>
  <c r="N156" i="2" s="1"/>
  <c r="M137" i="2"/>
  <c r="N137" i="2" s="1"/>
  <c r="M18" i="2"/>
  <c r="N18" i="2" s="1"/>
  <c r="M154" i="2"/>
  <c r="N154" i="2" s="1"/>
  <c r="M253" i="2"/>
  <c r="N253" i="2" s="1"/>
  <c r="M348" i="2"/>
  <c r="N348" i="2" s="1"/>
  <c r="M339" i="2"/>
  <c r="N339" i="2" s="1"/>
  <c r="M347" i="2"/>
  <c r="N347" i="2" s="1"/>
  <c r="M345" i="2"/>
  <c r="N345" i="2" s="1"/>
  <c r="M266" i="2"/>
  <c r="N266" i="2" s="1"/>
  <c r="M148" i="2"/>
  <c r="N148" i="2" s="1"/>
  <c r="M177" i="2"/>
  <c r="N177" i="2" s="1"/>
  <c r="M337" i="2"/>
  <c r="N337" i="2" s="1"/>
  <c r="M258" i="2"/>
  <c r="N258" i="2" s="1"/>
  <c r="M291" i="2"/>
  <c r="N291" i="2" s="1"/>
  <c r="M79" i="2"/>
  <c r="N79" i="2" s="1"/>
  <c r="M351" i="2"/>
  <c r="N351" i="2" s="1"/>
  <c r="M361" i="2"/>
  <c r="N361" i="2" s="1"/>
  <c r="M63" i="2"/>
  <c r="N63" i="2" s="1"/>
  <c r="M175" i="2"/>
  <c r="N175" i="2" s="1"/>
  <c r="M27" i="2"/>
  <c r="N27" i="2" s="1"/>
  <c r="M12" i="2"/>
  <c r="N12" i="2" s="1"/>
  <c r="M318" i="2"/>
  <c r="N318" i="2" s="1"/>
  <c r="M265" i="2"/>
  <c r="N265" i="2" s="1"/>
  <c r="M285" i="2"/>
  <c r="N285" i="2" s="1"/>
  <c r="M373" i="2"/>
  <c r="N373" i="2" s="1"/>
  <c r="M125" i="2"/>
  <c r="N125" i="2" s="1"/>
  <c r="M138" i="2"/>
  <c r="N138" i="2" s="1"/>
  <c r="M165" i="2"/>
  <c r="N165" i="2" s="1"/>
  <c r="M359" i="2"/>
  <c r="N359" i="2" s="1"/>
  <c r="M227" i="2"/>
  <c r="N227" i="2" s="1"/>
  <c r="M81" i="2"/>
  <c r="N81" i="2" s="1"/>
  <c r="M60" i="2"/>
  <c r="N60" i="2" s="1"/>
  <c r="M66" i="2"/>
  <c r="N66" i="2" s="1"/>
  <c r="M192" i="2"/>
  <c r="N192" i="2" s="1"/>
  <c r="M91" i="2"/>
  <c r="N91" i="2" s="1"/>
  <c r="M357" i="2"/>
  <c r="N357" i="2" s="1"/>
  <c r="M153" i="2"/>
  <c r="N153" i="2" s="1"/>
  <c r="M352" i="2"/>
  <c r="N352" i="2" s="1"/>
  <c r="M135" i="2"/>
  <c r="N135" i="2" s="1"/>
  <c r="M106" i="2"/>
  <c r="N106" i="2" s="1"/>
  <c r="M140" i="2"/>
  <c r="N140" i="2" s="1"/>
  <c r="M234" i="2"/>
  <c r="N234" i="2" s="1"/>
  <c r="M23" i="2"/>
  <c r="N23" i="2" s="1"/>
  <c r="M282" i="2"/>
  <c r="N282" i="2" s="1"/>
  <c r="M16" i="2"/>
  <c r="N16" i="2" s="1"/>
  <c r="M37" i="2"/>
  <c r="N37" i="2" s="1"/>
  <c r="M308" i="2"/>
  <c r="N308" i="2" s="1"/>
  <c r="M22" i="2"/>
  <c r="N22" i="2" s="1"/>
  <c r="M83" i="2"/>
  <c r="N83" i="2" s="1"/>
  <c r="M68" i="2"/>
  <c r="N68" i="2" s="1"/>
  <c r="M221" i="2"/>
  <c r="N221" i="2" s="1"/>
  <c r="M323" i="2"/>
  <c r="N323" i="2" s="1"/>
  <c r="M114" i="2"/>
  <c r="N114" i="2" s="1"/>
  <c r="M362" i="2"/>
  <c r="N362" i="2" s="1"/>
  <c r="M45" i="2"/>
  <c r="N45" i="2" s="1"/>
  <c r="M35" i="2"/>
  <c r="N35" i="2" s="1"/>
  <c r="M105" i="2"/>
  <c r="N105" i="2" s="1"/>
  <c r="M341" i="2"/>
  <c r="N341" i="2" s="1"/>
  <c r="M354" i="2"/>
  <c r="N354" i="2" s="1"/>
  <c r="M110" i="2"/>
  <c r="N110" i="2" s="1"/>
  <c r="M20" i="2"/>
  <c r="N20" i="2" s="1"/>
  <c r="M133" i="2"/>
  <c r="N133" i="2" s="1"/>
  <c r="M39" i="2"/>
  <c r="N39" i="2" s="1"/>
  <c r="M49" i="2"/>
  <c r="N49" i="2" s="1"/>
  <c r="M117" i="2"/>
  <c r="N117" i="2" s="1"/>
  <c r="M238" i="2"/>
  <c r="N238" i="2" s="1"/>
  <c r="M143" i="2"/>
  <c r="N143" i="2" s="1"/>
  <c r="M51" i="2"/>
  <c r="N51" i="2" s="1"/>
  <c r="M101" i="2"/>
  <c r="N101" i="2" s="1"/>
  <c r="M103" i="2"/>
  <c r="N103" i="2" s="1"/>
  <c r="M69" i="2"/>
  <c r="N69" i="2" s="1"/>
  <c r="M307" i="2"/>
  <c r="N307" i="2" s="1"/>
  <c r="N9" i="2" l="1"/>
  <c r="N14" i="2"/>
  <c r="N5" i="2"/>
  <c r="AB3" i="2"/>
  <c r="AB4" i="2" s="1"/>
  <c r="AC3" i="2" l="1"/>
  <c r="AC4" i="2" s="1"/>
  <c r="AB2" i="2"/>
  <c r="AD3" i="2" l="1"/>
  <c r="AD4" i="2" s="1"/>
  <c r="AE3" i="2" l="1"/>
  <c r="AE4" i="2" s="1"/>
  <c r="AF3" i="2" l="1"/>
  <c r="AF4" i="2" s="1"/>
  <c r="AG3" i="2" l="1"/>
  <c r="AG4" i="2" s="1"/>
  <c r="AH3" i="2" l="1"/>
  <c r="AH4" i="2" s="1"/>
  <c r="AI3" i="2" l="1"/>
  <c r="AI4" i="2" s="1"/>
  <c r="AJ3" i="2" l="1"/>
  <c r="AJ4" i="2" s="1"/>
  <c r="AI2" i="2"/>
  <c r="AK3" i="2" l="1"/>
  <c r="AK4" i="2" s="1"/>
  <c r="AL3" i="2" l="1"/>
  <c r="AL4" i="2" s="1"/>
  <c r="AM3" i="2" l="1"/>
  <c r="AM4" i="2" s="1"/>
  <c r="AN3" i="2" l="1"/>
  <c r="AN4" i="2" s="1"/>
  <c r="AO3" i="2" l="1"/>
  <c r="AO4" i="2" s="1"/>
  <c r="AP3" i="2" l="1"/>
  <c r="AP4" i="2" s="1"/>
  <c r="AQ3" i="2" l="1"/>
  <c r="AQ4" i="2" s="1"/>
  <c r="AP2" i="2"/>
  <c r="AR3" i="2" l="1"/>
  <c r="AR4" i="2" s="1"/>
  <c r="AS3" i="2" l="1"/>
  <c r="AS4" i="2" s="1"/>
  <c r="AT3" i="2" l="1"/>
  <c r="AT4" i="2" s="1"/>
  <c r="AU3" i="2" l="1"/>
  <c r="AU4" i="2" s="1"/>
  <c r="AV3" i="2" l="1"/>
  <c r="AV4" i="2" s="1"/>
  <c r="AW3" i="2"/>
  <c r="AW4" i="2" s="1"/>
  <c r="AX3" i="2" l="1"/>
  <c r="AX4" i="2" s="1"/>
  <c r="AW2" i="2"/>
  <c r="AY3" i="2" l="1"/>
  <c r="AY4" i="2" s="1"/>
  <c r="AZ3" i="2" l="1"/>
  <c r="AZ4" i="2" s="1"/>
  <c r="BA3" i="2" l="1"/>
  <c r="BA4" i="2" s="1"/>
  <c r="BB3" i="2" l="1"/>
  <c r="BB4" i="2" s="1"/>
  <c r="BC3" i="2" l="1"/>
  <c r="BC4" i="2" s="1"/>
  <c r="BD3" i="2" l="1"/>
  <c r="BD4" i="2" s="1"/>
  <c r="BE3" i="2" l="1"/>
  <c r="BE4" i="2" s="1"/>
  <c r="BD2" i="2"/>
  <c r="BF3" i="2" l="1"/>
  <c r="BF4" i="2" s="1"/>
  <c r="BG3" i="2" l="1"/>
  <c r="BG4" i="2" s="1"/>
  <c r="BH3" i="2" l="1"/>
  <c r="BH4" i="2" s="1"/>
  <c r="BI3" i="2" l="1"/>
  <c r="BI4" i="2" s="1"/>
  <c r="BJ3" i="2" l="1"/>
  <c r="BJ4" i="2" s="1"/>
  <c r="BK3" i="2" l="1"/>
  <c r="BK4" i="2" s="1"/>
  <c r="BK2" i="2" l="1"/>
  <c r="BL3" i="2"/>
  <c r="BL4" i="2" s="1"/>
  <c r="BM3" i="2" l="1"/>
  <c r="BM4" i="2" s="1"/>
  <c r="BN3" i="2" l="1"/>
  <c r="BN4" i="2" s="1"/>
  <c r="BO3" i="2" l="1"/>
  <c r="BO4" i="2" s="1"/>
  <c r="BP3" i="2" l="1"/>
  <c r="BP4" i="2" s="1"/>
  <c r="BQ3" i="2" l="1"/>
  <c r="BQ4" i="2" s="1"/>
  <c r="BR3" i="2" l="1"/>
  <c r="BR4" i="2" s="1"/>
  <c r="BS3" i="2" l="1"/>
  <c r="BS4" i="2" s="1"/>
  <c r="BR2" i="2"/>
  <c r="BT3" i="2" l="1"/>
  <c r="BT4" i="2" s="1"/>
  <c r="BU3" i="2" l="1"/>
  <c r="BU4" i="2" s="1"/>
  <c r="BV3" i="2" l="1"/>
  <c r="BV4" i="2" s="1"/>
  <c r="BW3" i="2" l="1"/>
  <c r="BW4" i="2" s="1"/>
  <c r="BX3" i="2" l="1"/>
  <c r="BX4" i="2" s="1"/>
  <c r="BY3" i="2" l="1"/>
  <c r="BY4" i="2" s="1"/>
  <c r="BZ3" i="2" l="1"/>
  <c r="BZ4" i="2" s="1"/>
  <c r="BY2" i="2"/>
  <c r="CA3" i="2" l="1"/>
  <c r="CA4" i="2" s="1"/>
  <c r="CB3" i="2" l="1"/>
  <c r="CB4" i="2" s="1"/>
  <c r="CC3" i="2" l="1"/>
  <c r="CC4" i="2" s="1"/>
  <c r="CD3" i="2" l="1"/>
  <c r="CD4" i="2" s="1"/>
  <c r="CE3" i="2" l="1"/>
  <c r="CE4" i="2" s="1"/>
  <c r="CF3" i="2" l="1"/>
  <c r="CF4" i="2" s="1"/>
  <c r="CF2" i="2" l="1"/>
  <c r="CG3" i="2"/>
  <c r="CG4" i="2" s="1"/>
  <c r="CH3" i="2" l="1"/>
  <c r="CH4" i="2" s="1"/>
  <c r="CI3" i="2" l="1"/>
  <c r="CI4" i="2" s="1"/>
  <c r="CJ3" i="2" l="1"/>
  <c r="CJ4" i="2" s="1"/>
  <c r="CK3" i="2" l="1"/>
  <c r="CK4" i="2" s="1"/>
  <c r="CL3" i="2" l="1"/>
  <c r="CL4" i="2" s="1"/>
  <c r="CM3" i="2" l="1"/>
  <c r="CM4" i="2" s="1"/>
  <c r="CN3" i="2" l="1"/>
  <c r="CN4" i="2" s="1"/>
  <c r="CM2" i="2"/>
  <c r="CO3" i="2" l="1"/>
  <c r="CO4" i="2" s="1"/>
  <c r="CP3" i="2" l="1"/>
  <c r="CP4" i="2" s="1"/>
  <c r="CQ3" i="2" l="1"/>
  <c r="CQ4" i="2" s="1"/>
  <c r="CR3" i="2" l="1"/>
  <c r="CR4" i="2" s="1"/>
  <c r="CS3" i="2" l="1"/>
  <c r="CS4" i="2" s="1"/>
  <c r="CT3" i="2" l="1"/>
  <c r="CT4" i="2" s="1"/>
  <c r="CU3" i="2" l="1"/>
  <c r="CU4" i="2" s="1"/>
  <c r="CT2" i="2"/>
  <c r="CV3" i="2" l="1"/>
  <c r="CV4" i="2" s="1"/>
  <c r="CW3" i="2" l="1"/>
  <c r="CW4" i="2" s="1"/>
  <c r="CX3" i="2" l="1"/>
  <c r="CX4" i="2" s="1"/>
  <c r="CY3" i="2" l="1"/>
  <c r="CY4" i="2" s="1"/>
  <c r="CZ3" i="2" l="1"/>
  <c r="CZ4" i="2" s="1"/>
  <c r="DA3" i="2" l="1"/>
  <c r="DA4" i="2" s="1"/>
  <c r="DB3" i="2" l="1"/>
  <c r="DB4" i="2" s="1"/>
  <c r="DA2" i="2"/>
  <c r="DC3" i="2" l="1"/>
  <c r="DC4" i="2" s="1"/>
  <c r="DD3" i="2" l="1"/>
  <c r="DD4" i="2" s="1"/>
  <c r="DE3" i="2" l="1"/>
  <c r="DE4" i="2" s="1"/>
  <c r="DF3" i="2" l="1"/>
  <c r="DF4" i="2" s="1"/>
  <c r="DG3" i="2" l="1"/>
  <c r="DG4" i="2" s="1"/>
  <c r="DH3" i="2" l="1"/>
  <c r="DH4" i="2" s="1"/>
  <c r="DI3" i="2" l="1"/>
  <c r="DI4" i="2" s="1"/>
  <c r="DH2" i="2"/>
  <c r="DJ3" i="2" l="1"/>
  <c r="DJ4" i="2" s="1"/>
  <c r="DK3" i="2" l="1"/>
  <c r="DK4" i="2" s="1"/>
  <c r="DL3" i="2" l="1"/>
  <c r="DL4" i="2" s="1"/>
  <c r="DM3" i="2" l="1"/>
  <c r="DM4" i="2" s="1"/>
  <c r="DN3" i="2" l="1"/>
  <c r="DN4" i="2" s="1"/>
  <c r="DO3" i="2" l="1"/>
  <c r="DO4" i="2" s="1"/>
  <c r="DO2" i="2" l="1"/>
  <c r="DP3" i="2"/>
  <c r="DP4" i="2" s="1"/>
  <c r="DQ3" i="2" l="1"/>
  <c r="DQ4" i="2" s="1"/>
  <c r="DR3" i="2" l="1"/>
  <c r="DR4" i="2" s="1"/>
  <c r="DS3" i="2" l="1"/>
  <c r="DS4" i="2" s="1"/>
  <c r="DT3" i="2" l="1"/>
  <c r="DT4" i="2" s="1"/>
  <c r="DU3" i="2" l="1"/>
  <c r="DU4" i="2" s="1"/>
  <c r="DV3" i="2" l="1"/>
  <c r="DV4" i="2" s="1"/>
  <c r="DV2" i="2" l="1"/>
  <c r="DW3" i="2"/>
  <c r="DW4" i="2" s="1"/>
  <c r="DX3" i="2" l="1"/>
  <c r="DX4" i="2" s="1"/>
  <c r="DY3" i="2" l="1"/>
  <c r="DY4" i="2" s="1"/>
  <c r="DZ3" i="2" l="1"/>
  <c r="DZ4" i="2" s="1"/>
  <c r="EA3" i="2" l="1"/>
  <c r="EA4" i="2" s="1"/>
  <c r="EB3" i="2" l="1"/>
  <c r="EB4" i="2" s="1"/>
  <c r="EC3" i="2" l="1"/>
  <c r="EC4" i="2" s="1"/>
  <c r="ED3" i="2" l="1"/>
  <c r="ED4" i="2" s="1"/>
  <c r="EC2" i="2"/>
  <c r="EE3" i="2" l="1"/>
  <c r="EE4" i="2" s="1"/>
  <c r="EF3" i="2" l="1"/>
  <c r="EF4" i="2" s="1"/>
  <c r="EG3" i="2" l="1"/>
  <c r="EG4" i="2" s="1"/>
  <c r="EH3" i="2" l="1"/>
  <c r="EH4" i="2" s="1"/>
  <c r="EI3" i="2" l="1"/>
  <c r="EI4" i="2" s="1"/>
  <c r="EJ3" i="2" l="1"/>
  <c r="EJ4" i="2" s="1"/>
  <c r="EK3" i="2" l="1"/>
  <c r="EK4" i="2" s="1"/>
  <c r="EJ2" i="2"/>
  <c r="EL3" i="2" l="1"/>
  <c r="EL4" i="2" s="1"/>
  <c r="EM3" i="2" l="1"/>
  <c r="EM4" i="2" s="1"/>
  <c r="EN3" i="2" l="1"/>
  <c r="EN4" i="2" s="1"/>
  <c r="EO3" i="2" l="1"/>
  <c r="EO4" i="2" s="1"/>
  <c r="EP3" i="2" l="1"/>
  <c r="EP4" i="2" s="1"/>
  <c r="EQ3" i="2" l="1"/>
  <c r="EQ4" i="2" s="1"/>
  <c r="EQ2" i="2" l="1"/>
  <c r="ER3" i="2"/>
  <c r="ER4" i="2" s="1"/>
  <c r="ES3" i="2" l="1"/>
  <c r="ES4" i="2" s="1"/>
  <c r="ET3" i="2" l="1"/>
  <c r="ET4" i="2" s="1"/>
  <c r="EU3" i="2" l="1"/>
  <c r="EU4" i="2" s="1"/>
  <c r="EV3" i="2" l="1"/>
  <c r="EV4" i="2" s="1"/>
  <c r="EW3" i="2" l="1"/>
  <c r="EW4" i="2" s="1"/>
  <c r="EX3" i="2" l="1"/>
  <c r="EX4" i="2" s="1"/>
  <c r="EX2" i="2" l="1"/>
  <c r="EY3" i="2"/>
  <c r="EY4" i="2" s="1"/>
  <c r="EZ3" i="2" l="1"/>
  <c r="EZ4" i="2" s="1"/>
  <c r="FA3" i="2" l="1"/>
  <c r="FA4" i="2" s="1"/>
  <c r="FB3" i="2" l="1"/>
  <c r="FB4" i="2" s="1"/>
  <c r="FC3" i="2" l="1"/>
  <c r="FC4" i="2" s="1"/>
  <c r="FD3" i="2" l="1"/>
  <c r="FD4" i="2" s="1"/>
  <c r="FE3" i="2" l="1"/>
  <c r="FE4" i="2" s="1"/>
  <c r="FE2" i="2" l="1"/>
  <c r="FF3" i="2"/>
  <c r="FF4" i="2" s="1"/>
  <c r="FG3" i="2" l="1"/>
  <c r="FG4" i="2" s="1"/>
  <c r="FH3" i="2" l="1"/>
  <c r="FH4" i="2" s="1"/>
  <c r="FI3" i="2" l="1"/>
  <c r="FI4" i="2" s="1"/>
  <c r="FJ3" i="2" l="1"/>
  <c r="FJ4" i="2" s="1"/>
  <c r="FK3" i="2" l="1"/>
  <c r="FK4" i="2" s="1"/>
  <c r="FL3" i="2" l="1"/>
  <c r="FL4" i="2" s="1"/>
  <c r="FL2" i="2" l="1"/>
  <c r="FM3" i="2"/>
  <c r="FM4" i="2" s="1"/>
  <c r="FN3" i="2" l="1"/>
  <c r="FN4" i="2" s="1"/>
  <c r="FO3" i="2" l="1"/>
  <c r="FO4" i="2" s="1"/>
  <c r="FP3" i="2" l="1"/>
  <c r="FP4" i="2" s="1"/>
  <c r="FQ3" i="2" l="1"/>
  <c r="FQ4" i="2" s="1"/>
  <c r="FR3" i="2" l="1"/>
  <c r="FR4" i="2" s="1"/>
  <c r="FS3" i="2" l="1"/>
  <c r="FS4" i="2" s="1"/>
  <c r="FT3" i="2" l="1"/>
  <c r="FT4" i="2" s="1"/>
  <c r="FS2" i="2"/>
  <c r="FU3" i="2" l="1"/>
  <c r="FU4" i="2" s="1"/>
  <c r="FV3" i="2" l="1"/>
  <c r="FV4" i="2" s="1"/>
  <c r="FW3" i="2" l="1"/>
  <c r="FW4" i="2" s="1"/>
  <c r="FX3" i="2" l="1"/>
  <c r="FX4" i="2" s="1"/>
  <c r="FY3" i="2" l="1"/>
  <c r="FY4" i="2" s="1"/>
  <c r="FZ3" i="2" l="1"/>
  <c r="FZ4" i="2" s="1"/>
  <c r="GA3" i="2" l="1"/>
  <c r="GA4" i="2" s="1"/>
  <c r="FZ2" i="2"/>
  <c r="GB3" i="2" l="1"/>
  <c r="GB4" i="2" s="1"/>
  <c r="GC3" i="2" l="1"/>
  <c r="GC4" i="2" s="1"/>
  <c r="GD3" i="2" l="1"/>
  <c r="GD4" i="2" s="1"/>
  <c r="GE3" i="2" l="1"/>
  <c r="GE4" i="2" s="1"/>
  <c r="GF3" i="2" l="1"/>
  <c r="GF4" i="2" s="1"/>
  <c r="GG3" i="2" l="1"/>
  <c r="GG4" i="2" s="1"/>
  <c r="GH3" i="2" l="1"/>
  <c r="GH4" i="2" s="1"/>
  <c r="GG2" i="2"/>
  <c r="GI3" i="2" l="1"/>
  <c r="GI4" i="2" s="1"/>
  <c r="GJ3" i="2" l="1"/>
  <c r="GJ4" i="2" s="1"/>
  <c r="GK3" i="2" l="1"/>
  <c r="GK4" i="2" s="1"/>
  <c r="GL3" i="2" l="1"/>
  <c r="GL4" i="2" s="1"/>
  <c r="GM3" i="2" l="1"/>
  <c r="GM4" i="2" s="1"/>
  <c r="GN3" i="2" l="1"/>
  <c r="GN4" i="2" s="1"/>
  <c r="GO3" i="2" l="1"/>
  <c r="GO4" i="2" s="1"/>
  <c r="GN2" i="2"/>
  <c r="GP3" i="2" l="1"/>
  <c r="GP4" i="2" s="1"/>
  <c r="GQ3" i="2" l="1"/>
  <c r="GQ4" i="2" s="1"/>
  <c r="GR3" i="2" l="1"/>
  <c r="GR4" i="2" s="1"/>
  <c r="GS3" i="2" l="1"/>
  <c r="GS4" i="2" s="1"/>
  <c r="GT3" i="2" l="1"/>
  <c r="GT4" i="2" s="1"/>
  <c r="GU3" i="2" l="1"/>
  <c r="GU4" i="2" s="1"/>
  <c r="GU2" i="2" l="1"/>
  <c r="GV3" i="2"/>
  <c r="GV4" i="2" s="1"/>
  <c r="GW3" i="2" l="1"/>
  <c r="GW4" i="2" s="1"/>
  <c r="GX3" i="2" l="1"/>
  <c r="GX4" i="2" s="1"/>
  <c r="GY3" i="2" l="1"/>
  <c r="GY4" i="2" s="1"/>
  <c r="GZ3" i="2" l="1"/>
  <c r="GZ4" i="2" s="1"/>
  <c r="HA3" i="2" l="1"/>
  <c r="HA4" i="2" s="1"/>
  <c r="HB3" i="2" l="1"/>
  <c r="HB4" i="2" s="1"/>
  <c r="HB2" i="2" l="1"/>
  <c r="HC3" i="2"/>
  <c r="HC4" i="2" s="1"/>
  <c r="HD3" i="2" l="1"/>
  <c r="HD4" i="2" s="1"/>
  <c r="HE3" i="2" l="1"/>
  <c r="HE4" i="2" s="1"/>
  <c r="HF3" i="2" l="1"/>
  <c r="HF4" i="2" s="1"/>
  <c r="HG3" i="2" l="1"/>
  <c r="HG4" i="2" s="1"/>
  <c r="HH3" i="2" l="1"/>
  <c r="HH4" i="2" s="1"/>
  <c r="HI3" i="2" l="1"/>
  <c r="HI4" i="2" s="1"/>
  <c r="HJ3" i="2" l="1"/>
  <c r="HJ4" i="2" s="1"/>
  <c r="HI2" i="2"/>
  <c r="HK3" i="2" l="1"/>
  <c r="HK4" i="2" s="1"/>
  <c r="HL3" i="2" l="1"/>
  <c r="HL4" i="2" s="1"/>
  <c r="HM3" i="2" l="1"/>
  <c r="HM4" i="2" s="1"/>
  <c r="HN3" i="2" l="1"/>
  <c r="HN4" i="2" s="1"/>
  <c r="HO3" i="2" l="1"/>
  <c r="HO4" i="2" s="1"/>
  <c r="HP3" i="2" l="1"/>
  <c r="HP4" i="2" s="1"/>
  <c r="HP2" i="2" l="1"/>
  <c r="HQ3" i="2"/>
  <c r="HQ4" i="2" s="1"/>
  <c r="HR3" i="2" l="1"/>
  <c r="HR4" i="2" s="1"/>
  <c r="HS3" i="2" l="1"/>
  <c r="HS4" i="2" s="1"/>
  <c r="HT3" i="2" l="1"/>
  <c r="HT4" i="2" s="1"/>
  <c r="HU3" i="2" l="1"/>
  <c r="HU4" i="2" s="1"/>
  <c r="HV3" i="2" l="1"/>
  <c r="HV4" i="2" s="1"/>
  <c r="HW3" i="2" l="1"/>
  <c r="HW4" i="2" s="1"/>
  <c r="HX3" i="2" l="1"/>
  <c r="HX4" i="2" s="1"/>
  <c r="HW2" i="2"/>
  <c r="HY3" i="2" l="1"/>
  <c r="HY4" i="2" s="1"/>
  <c r="HZ3" i="2" l="1"/>
  <c r="HZ4" i="2" s="1"/>
  <c r="IA3" i="2" l="1"/>
  <c r="IA4" i="2" s="1"/>
  <c r="IB3" i="2" l="1"/>
  <c r="IB4" i="2" s="1"/>
  <c r="IC3" i="2" l="1"/>
  <c r="IC4" i="2" s="1"/>
  <c r="ID3" i="2" l="1"/>
  <c r="ID4" i="2" s="1"/>
  <c r="ID2" i="2" l="1"/>
  <c r="IE3" i="2"/>
  <c r="IE4" i="2" s="1"/>
  <c r="IF3" i="2" l="1"/>
  <c r="IF4" i="2" s="1"/>
  <c r="IG3" i="2" l="1"/>
  <c r="IG4" i="2" s="1"/>
  <c r="IH3" i="2" l="1"/>
  <c r="IH4" i="2" s="1"/>
  <c r="II3" i="2" l="1"/>
  <c r="II4" i="2" s="1"/>
  <c r="IJ3" i="2" l="1"/>
  <c r="IJ4" i="2" s="1"/>
  <c r="IK3" i="2" l="1"/>
  <c r="IK4" i="2" s="1"/>
  <c r="IK2" i="2" l="1"/>
  <c r="IL3" i="2"/>
  <c r="IL4" i="2" s="1"/>
  <c r="IM3" i="2" l="1"/>
  <c r="IM4" i="2" s="1"/>
  <c r="IN3" i="2" l="1"/>
  <c r="IN4" i="2" s="1"/>
  <c r="IO3" i="2" l="1"/>
  <c r="IO4" i="2" s="1"/>
  <c r="IP3" i="2" l="1"/>
  <c r="IP4" i="2" s="1"/>
  <c r="IQ3" i="2" l="1"/>
  <c r="IQ4" i="2" s="1"/>
  <c r="IR3" i="2" l="1"/>
  <c r="IR4" i="2" s="1"/>
  <c r="IR2" i="2" l="1"/>
  <c r="IS3" i="2"/>
  <c r="IS4" i="2" s="1"/>
  <c r="IT3" i="2" l="1"/>
  <c r="IT4" i="2" s="1"/>
  <c r="IU3" i="2" l="1"/>
  <c r="IU4" i="2" s="1"/>
  <c r="IV3" i="2" l="1"/>
  <c r="IV4" i="2" s="1"/>
  <c r="IW3" i="2" l="1"/>
  <c r="IW4" i="2" s="1"/>
  <c r="IX3" i="2" l="1"/>
  <c r="IX4" i="2" s="1"/>
  <c r="IY3" i="2" l="1"/>
  <c r="IY4" i="2" s="1"/>
  <c r="IZ3" i="2" l="1"/>
  <c r="IZ4" i="2" s="1"/>
  <c r="IY2" i="2"/>
  <c r="JA3" i="2" l="1"/>
  <c r="JA4" i="2" s="1"/>
  <c r="JB3" i="2" l="1"/>
  <c r="JB4" i="2" s="1"/>
  <c r="JC3" i="2" l="1"/>
  <c r="JC4" i="2" s="1"/>
  <c r="JD3" i="2" l="1"/>
  <c r="JD4" i="2" s="1"/>
  <c r="JE3" i="2" l="1"/>
  <c r="JE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<sst xmlns="http://schemas.openxmlformats.org/spreadsheetml/2006/main" count="35" uniqueCount="35">
  <si>
    <t>開始日：</t>
    <rPh sb="0" eb="3">
      <t>カイシビ</t>
    </rPh>
    <phoneticPr fontId="8"/>
  </si>
  <si>
    <t>課題シート：内部用課題の残課題(優先順位 低)の検討
(検討タイミング振り分け、対応方針)</t>
    <rPh sb="12" eb="13">
      <t>ザン</t>
    </rPh>
    <rPh sb="13" eb="15">
      <t>カダイ</t>
    </rPh>
    <rPh sb="16" eb="20">
      <t>ユウセンジュンイ</t>
    </rPh>
    <rPh sb="21" eb="22">
      <t>テイ</t>
    </rPh>
    <phoneticPr fontId="8"/>
  </si>
  <si>
    <t>基準日：</t>
    <rPh sb="0" eb="3">
      <t>キジュンビ</t>
    </rPh>
    <phoneticPr fontId="8"/>
  </si>
  <si>
    <t>週表示：</t>
    <phoneticPr fontId="8"/>
  </si>
  <si>
    <t>大分類</t>
    <rPh sb="0" eb="3">
      <t>ダイブンルイ</t>
    </rPh>
    <phoneticPr fontId="8"/>
  </si>
  <si>
    <t>中分類</t>
    <rPh sb="0" eb="3">
      <t>チュウブンルイ</t>
    </rPh>
    <phoneticPr fontId="8"/>
  </si>
  <si>
    <t>関連番号</t>
    <rPh sb="0" eb="2">
      <t>カンレン</t>
    </rPh>
    <rPh sb="2" eb="4">
      <t>バンゴウ</t>
    </rPh>
    <phoneticPr fontId="8"/>
  </si>
  <si>
    <t>進捗日数</t>
    <rPh sb="0" eb="2">
      <t>シンチョク</t>
    </rPh>
    <rPh sb="2" eb="4">
      <t>ニッスウ</t>
    </rPh>
    <phoneticPr fontId="8"/>
  </si>
  <si>
    <t>作業遅延</t>
    <rPh sb="0" eb="2">
      <t>サギョウ</t>
    </rPh>
    <rPh sb="2" eb="4">
      <t>チエン</t>
    </rPh>
    <phoneticPr fontId="8"/>
  </si>
  <si>
    <t>開始遅延</t>
    <rPh sb="0" eb="4">
      <t>カイシチエン</t>
    </rPh>
    <phoneticPr fontId="8"/>
  </si>
  <si>
    <t>遅延日数</t>
    <rPh sb="0" eb="2">
      <t>チエン</t>
    </rPh>
    <rPh sb="2" eb="4">
      <t>ニッスウ</t>
    </rPh>
    <phoneticPr fontId="8"/>
  </si>
  <si>
    <t>担当組織</t>
    <rPh sb="0" eb="2">
      <t>タントウ</t>
    </rPh>
    <rPh sb="2" eb="4">
      <t>ソシキ</t>
    </rPh>
    <phoneticPr fontId="8"/>
  </si>
  <si>
    <t>最終更新</t>
    <rPh sb="0" eb="4">
      <t>サイシュウコウシン</t>
    </rPh>
    <phoneticPr fontId="8"/>
  </si>
  <si>
    <t>開始入力</t>
    <rPh sb="0" eb="2">
      <t>カイシ</t>
    </rPh>
    <rPh sb="2" eb="4">
      <t>ニュウリョク</t>
    </rPh>
    <phoneticPr fontId="8"/>
  </si>
  <si>
    <t>終了入力</t>
    <rPh sb="0" eb="2">
      <t>シュウリョウ</t>
    </rPh>
    <rPh sb="2" eb="4">
      <t>ニュウリョク</t>
    </rPh>
    <phoneticPr fontId="8"/>
  </si>
  <si>
    <t>日数入力</t>
    <rPh sb="0" eb="2">
      <t>ニッスウ</t>
    </rPh>
    <rPh sb="2" eb="4">
      <t>ニュウリョク</t>
    </rPh>
    <phoneticPr fontId="8"/>
  </si>
  <si>
    <t>開始計画</t>
    <rPh sb="0" eb="2">
      <t>カイシ</t>
    </rPh>
    <rPh sb="2" eb="4">
      <t>ケイカク</t>
    </rPh>
    <phoneticPr fontId="8"/>
  </si>
  <si>
    <t>終了計画</t>
    <rPh sb="0" eb="2">
      <t>シュウリョウ</t>
    </rPh>
    <rPh sb="2" eb="4">
      <t>ケイカク</t>
    </rPh>
    <phoneticPr fontId="8"/>
  </si>
  <si>
    <t>日数計画</t>
    <rPh sb="0" eb="2">
      <t>ニッスウ</t>
    </rPh>
    <rPh sb="2" eb="4">
      <t>ケイカク</t>
    </rPh>
    <phoneticPr fontId="8"/>
  </si>
  <si>
    <t>開始実績</t>
    <rPh sb="0" eb="2">
      <t>カイシ</t>
    </rPh>
    <rPh sb="2" eb="4">
      <t>ジッセキ</t>
    </rPh>
    <phoneticPr fontId="8"/>
  </si>
  <si>
    <t>修了実績</t>
    <rPh sb="0" eb="2">
      <t>シュウリョウ</t>
    </rPh>
    <rPh sb="2" eb="4">
      <t>ジッセキ</t>
    </rPh>
    <phoneticPr fontId="8"/>
  </si>
  <si>
    <t>この行の上に新しい行を挿入する</t>
  </si>
  <si>
    <t>案件名</t>
    <rPh sb="0" eb="3">
      <t>アンケンメイ</t>
    </rPh>
    <phoneticPr fontId="8"/>
  </si>
  <si>
    <t>小分類</t>
    <rPh sb="0" eb="1">
      <t>ショウ</t>
    </rPh>
    <rPh sb="1" eb="3">
      <t>ブンルイ</t>
    </rPh>
    <phoneticPr fontId="8"/>
  </si>
  <si>
    <t>開始入力は平日？</t>
    <rPh sb="0" eb="2">
      <t>カイシ</t>
    </rPh>
    <rPh sb="2" eb="4">
      <t>ニュウリョク</t>
    </rPh>
    <rPh sb="5" eb="7">
      <t>ヘイジツ</t>
    </rPh>
    <phoneticPr fontId="6"/>
  </si>
  <si>
    <t>終了入力は平日？</t>
    <rPh sb="0" eb="2">
      <t>シュウリョウ</t>
    </rPh>
    <rPh sb="2" eb="4">
      <t>ニュウリョク</t>
    </rPh>
    <rPh sb="5" eb="7">
      <t>ヘイジツ</t>
    </rPh>
    <phoneticPr fontId="6"/>
  </si>
  <si>
    <t>関連種別</t>
    <rPh sb="0" eb="2">
      <t>カンレン</t>
    </rPh>
    <rPh sb="2" eb="4">
      <t>シュベツ</t>
    </rPh>
    <phoneticPr fontId="8"/>
  </si>
  <si>
    <t>番号</t>
    <rPh sb="0" eb="2">
      <t>バンゴウ</t>
    </rPh>
    <phoneticPr fontId="8"/>
  </si>
  <si>
    <t>担当者名</t>
    <rPh sb="0" eb="3">
      <t>タントウシャ</t>
    </rPh>
    <rPh sb="3" eb="4">
      <t>メイ</t>
    </rPh>
    <phoneticPr fontId="8"/>
  </si>
  <si>
    <t>フラグ</t>
    <phoneticPr fontId="8"/>
  </si>
  <si>
    <t>進捗実績</t>
    <rPh sb="0" eb="2">
      <t>シンチョク</t>
    </rPh>
    <rPh sb="2" eb="4">
      <t>ジッセキ</t>
    </rPh>
    <phoneticPr fontId="8"/>
  </si>
  <si>
    <t>関連有無</t>
    <rPh sb="0" eb="2">
      <t>カンレン</t>
    </rPh>
    <rPh sb="2" eb="4">
      <t>ウム</t>
    </rPh>
    <phoneticPr fontId="8"/>
  </si>
  <si>
    <t>タスクアイテム</t>
    <phoneticPr fontId="8"/>
  </si>
  <si>
    <t>関連タスクアイテム</t>
    <rPh sb="0" eb="2">
      <t>カンレン</t>
    </rPh>
    <phoneticPr fontId="8"/>
  </si>
  <si>
    <t>コメント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</si>
</sst>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aaa\,\ yyyy&quot;年&quot;m&quot;月&quot;d&quot;日&quot;"/>
    <numFmt numFmtId="177" formatCode="mm/dd"/>
    <numFmt numFmtId="178" formatCode="yy/mm/dd"/>
    <numFmt numFmtId="179" formatCode="d"/>
    <numFmt numFmtId="180" formatCode="0_);[Red]\(0\)"/>
    <numFmt numFmtId="181" formatCode="yy/m/d;@"/>
  </numFmts>
  <fonts count="28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8"/>
      <color theme="3"/>
      <name val="游ゴシック Light"/>
      <family val="2"/>
      <charset val="128"/>
      <scheme val="major"/>
    </font>
    <font>
      <b/>
      <sz val="13"/>
      <color theme="3"/>
      <name val="ＭＳ 明朝"/>
      <family val="2"/>
      <charset val="128"/>
    </font>
    <font>
      <b/>
      <sz val="11"/>
      <color theme="3"/>
      <name val="ＭＳ 明朝"/>
      <family val="2"/>
      <charset val="128"/>
    </font>
    <font>
      <sz val="11"/>
      <name val="BIZ UD明朝 Medium"/>
      <family val="1"/>
      <charset val="128"/>
    </font>
    <font>
      <sz val="6"/>
      <name val="游ゴシック"/>
      <family val="3"/>
      <charset val="128"/>
      <scheme val="minor"/>
    </font>
    <font>
      <b/>
      <u/>
      <sz val="14"/>
      <name val="BIZ UD明朝 Medium"/>
      <family val="1"/>
      <charset val="128"/>
    </font>
    <font>
      <sz val="6"/>
      <name val="Meiryo UI"/>
      <family val="2"/>
      <charset val="128"/>
    </font>
    <font>
      <sz val="14"/>
      <name val="BIZ UD明朝 Medium"/>
      <family val="1"/>
      <charset val="128"/>
    </font>
    <font>
      <sz val="9"/>
      <name val="BIZ UD明朝 Medium"/>
      <family val="1"/>
      <charset val="128"/>
    </font>
    <font>
      <sz val="11"/>
      <color theme="1"/>
      <name val="Meiryo UI"/>
      <family val="2"/>
      <charset val="128"/>
    </font>
    <font>
      <sz val="10"/>
      <name val="BIZ UD明朝 Medium"/>
      <family val="1"/>
      <charset val="128"/>
    </font>
    <font>
      <sz val="11"/>
      <color theme="1"/>
      <name val="BIZ UD明朝 Medium"/>
      <family val="1"/>
      <charset val="128"/>
    </font>
    <font>
      <b/>
      <sz val="9"/>
      <color theme="0"/>
      <name val="BIZ UDゴシック"/>
      <family val="3"/>
      <charset val="128"/>
    </font>
    <font>
      <b/>
      <sz val="10"/>
      <color theme="0"/>
      <name val="BIZ UDゴシック"/>
      <family val="3"/>
      <charset val="128"/>
    </font>
    <font>
      <b/>
      <sz val="11"/>
      <name val="BIZ UDゴシック"/>
      <family val="3"/>
      <charset val="128"/>
    </font>
    <font>
      <sz val="8"/>
      <name val="BIZ UD明朝 Medium"/>
      <family val="1"/>
      <charset val="128"/>
    </font>
    <font>
      <b/>
      <sz val="11"/>
      <name val="BIZ UDPゴシック"/>
      <family val="3"/>
      <charset val="128"/>
    </font>
    <font>
      <b/>
      <sz val="9"/>
      <name val="BIZ UDPゴシック"/>
      <family val="3"/>
      <charset val="128"/>
    </font>
    <font>
      <sz val="9"/>
      <name val="BIZ UDPゴシック"/>
      <family val="3"/>
      <charset val="128"/>
    </font>
    <font>
      <b/>
      <sz val="1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name val="BIZ UD明朝 Medium"/>
      <family val="1"/>
      <charset val="128"/>
    </font>
    <font>
      <u/>
      <sz val="11"/>
      <color indexed="12"/>
      <name val="Meiryo UI"/>
      <family val="2"/>
      <charset val="128"/>
    </font>
    <font>
      <sz val="6"/>
      <name val="BIZ UD明朝 Medium"/>
      <family val="1"/>
      <charset val="128"/>
    </font>
    <font>
      <sz val="6"/>
      <color theme="1"/>
      <name val="BIZ UD明朝 Medium"/>
      <family val="1"/>
      <charset val="128"/>
    </font>
    <font>
      <b/>
      <sz val="6"/>
      <name val="BIZ UD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</borders>
  <cellStyleXfs count="10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176" fontId="11" fillId="0" borderId="3">
      <alignment horizontal="center" vertical="center"/>
    </xf>
    <xf numFmtId="9" fontId="1" fillId="0" borderId="0" applyFont="0" applyFill="0" applyBorder="0" applyAlignment="0" applyProtection="0">
      <alignment vertical="center"/>
    </xf>
    <xf numFmtId="0" fontId="11" fillId="0" borderId="5" applyFill="0">
      <alignment horizontal="center" vertical="center"/>
    </xf>
    <xf numFmtId="181" fontId="11" fillId="0" borderId="5" applyFill="0">
      <alignment horizontal="center" vertical="center"/>
    </xf>
    <xf numFmtId="0" fontId="11" fillId="0" borderId="5" applyFill="0">
      <alignment horizontal="left" vertical="center" indent="2"/>
    </xf>
    <xf numFmtId="0" fontId="24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5" fillId="0" borderId="0" xfId="0" applyFont="1" applyAlignment="1">
      <alignment vertical="center"/>
    </xf>
    <xf numFmtId="0" fontId="9" fillId="0" borderId="1" xfId="2" applyFont="1" applyFill="1" applyAlignment="1">
      <alignment vertical="center"/>
    </xf>
    <xf numFmtId="0" fontId="9" fillId="0" borderId="1" xfId="2" applyNumberFormat="1" applyFont="1" applyFill="1" applyAlignment="1">
      <alignment vertical="center"/>
    </xf>
    <xf numFmtId="0" fontId="9" fillId="0" borderId="1" xfId="2" applyNumberFormat="1" applyFont="1" applyFill="1" applyAlignment="1">
      <alignment horizontal="center" vertical="center"/>
    </xf>
    <xf numFmtId="0" fontId="10" fillId="0" borderId="2" xfId="3" applyFont="1" applyFill="1" applyAlignment="1">
      <alignment horizontal="right" vertical="center"/>
    </xf>
    <xf numFmtId="177" fontId="5" fillId="2" borderId="0" xfId="4" applyNumberFormat="1" applyFont="1" applyFill="1" applyBorder="1">
      <alignment horizontal="center" vertical="center"/>
    </xf>
    <xf numFmtId="177" fontId="10" fillId="0" borderId="2" xfId="3" applyNumberFormat="1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177" fontId="5" fillId="0" borderId="0" xfId="0" applyNumberFormat="1" applyFont="1" applyAlignment="1">
      <alignment horizontal="center" vertical="center"/>
    </xf>
    <xf numFmtId="177" fontId="5" fillId="0" borderId="0" xfId="4" applyNumberFormat="1" applyFont="1" applyBorder="1">
      <alignment horizontal="center" vertical="center"/>
    </xf>
    <xf numFmtId="9" fontId="5" fillId="0" borderId="0" xfId="5" applyFont="1" applyFill="1" applyAlignment="1">
      <alignment vertical="center"/>
    </xf>
    <xf numFmtId="0" fontId="13" fillId="0" borderId="0" xfId="0" applyFont="1" applyAlignment="1">
      <alignment vertical="center"/>
    </xf>
    <xf numFmtId="178" fontId="5" fillId="0" borderId="0" xfId="0" applyNumberFormat="1" applyFont="1" applyAlignment="1">
      <alignment horizontal="left" vertical="center"/>
    </xf>
    <xf numFmtId="178" fontId="12" fillId="0" borderId="0" xfId="0" applyNumberFormat="1" applyFont="1" applyAlignment="1">
      <alignment horizontal="left" vertical="center"/>
    </xf>
    <xf numFmtId="178" fontId="5" fillId="0" borderId="0" xfId="0" applyNumberFormat="1" applyFont="1" applyAlignment="1">
      <alignment horizontal="center" vertical="center"/>
    </xf>
    <xf numFmtId="9" fontId="5" fillId="0" borderId="0" xfId="5" applyFont="1" applyFill="1" applyAlignment="1">
      <alignment horizontal="left" vertical="center"/>
    </xf>
    <xf numFmtId="178" fontId="1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9" fontId="5" fillId="0" borderId="0" xfId="5" applyFont="1" applyAlignment="1">
      <alignment vertical="center"/>
    </xf>
    <xf numFmtId="0" fontId="14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 textRotation="255"/>
    </xf>
    <xf numFmtId="0" fontId="14" fillId="3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 textRotation="255" wrapText="1"/>
    </xf>
    <xf numFmtId="177" fontId="14" fillId="3" borderId="0" xfId="0" applyNumberFormat="1" applyFont="1" applyFill="1" applyAlignment="1">
      <alignment horizontal="center" vertical="center" textRotation="255"/>
    </xf>
    <xf numFmtId="177" fontId="14" fillId="3" borderId="0" xfId="0" applyNumberFormat="1" applyFont="1" applyFill="1" applyAlignment="1">
      <alignment horizontal="center" vertical="center" textRotation="255" wrapText="1"/>
    </xf>
    <xf numFmtId="0" fontId="16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80" fontId="12" fillId="0" borderId="4" xfId="0" applyNumberFormat="1" applyFont="1" applyBorder="1" applyAlignment="1">
      <alignment horizontal="right" vertical="center"/>
    </xf>
    <xf numFmtId="177" fontId="12" fillId="0" borderId="4" xfId="7" applyNumberFormat="1" applyFont="1" applyFill="1" applyBorder="1">
      <alignment horizontal="center" vertical="center"/>
    </xf>
    <xf numFmtId="0" fontId="12" fillId="0" borderId="4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49" fontId="12" fillId="2" borderId="4" xfId="8" applyNumberFormat="1" applyFont="1" applyFill="1" applyBorder="1" applyAlignment="1">
      <alignment vertical="center"/>
    </xf>
    <xf numFmtId="0" fontId="17" fillId="2" borderId="4" xfId="8" applyFont="1" applyFill="1" applyBorder="1" applyAlignment="1">
      <alignment vertical="center"/>
    </xf>
    <xf numFmtId="0" fontId="12" fillId="2" borderId="4" xfId="6" applyFont="1" applyFill="1" applyBorder="1" applyAlignment="1">
      <alignment vertical="center"/>
    </xf>
    <xf numFmtId="177" fontId="12" fillId="2" borderId="4" xfId="6" applyNumberFormat="1" applyFont="1" applyFill="1" applyBorder="1">
      <alignment horizontal="center" vertical="center"/>
    </xf>
    <xf numFmtId="9" fontId="12" fillId="2" borderId="4" xfId="5" applyFont="1" applyFill="1" applyBorder="1" applyAlignment="1">
      <alignment vertical="center"/>
    </xf>
    <xf numFmtId="177" fontId="12" fillId="2" borderId="4" xfId="7" applyNumberFormat="1" applyFont="1" applyFill="1" applyBorder="1">
      <alignment horizontal="center" vertical="center"/>
    </xf>
    <xf numFmtId="0" fontId="12" fillId="2" borderId="4" xfId="8" applyFont="1" applyFill="1" applyBorder="1" applyAlignment="1">
      <alignment vertical="center"/>
    </xf>
    <xf numFmtId="0" fontId="18" fillId="4" borderId="0" xfId="0" applyFont="1" applyFill="1" applyAlignment="1">
      <alignment vertical="center"/>
    </xf>
    <xf numFmtId="0" fontId="19" fillId="4" borderId="0" xfId="0" applyFont="1" applyFill="1" applyAlignment="1">
      <alignment vertical="center"/>
    </xf>
    <xf numFmtId="0" fontId="20" fillId="4" borderId="0" xfId="0" applyFont="1" applyFill="1" applyAlignment="1">
      <alignment horizontal="center" vertical="center"/>
    </xf>
    <xf numFmtId="177" fontId="19" fillId="4" borderId="0" xfId="0" applyNumberFormat="1" applyFont="1" applyFill="1" applyAlignment="1">
      <alignment horizontal="center" vertical="center"/>
    </xf>
    <xf numFmtId="177" fontId="21" fillId="4" borderId="0" xfId="0" applyNumberFormat="1" applyFont="1" applyFill="1" applyAlignment="1">
      <alignment horizontal="center" vertical="center"/>
    </xf>
    <xf numFmtId="177" fontId="18" fillId="4" borderId="0" xfId="0" applyNumberFormat="1" applyFont="1" applyFill="1" applyAlignment="1">
      <alignment horizontal="center" vertical="center"/>
    </xf>
    <xf numFmtId="9" fontId="18" fillId="4" borderId="0" xfId="5" applyFont="1" applyFill="1" applyBorder="1" applyAlignment="1">
      <alignment vertical="center"/>
    </xf>
    <xf numFmtId="0" fontId="22" fillId="4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177" fontId="23" fillId="0" borderId="0" xfId="0" applyNumberFormat="1" applyFont="1" applyAlignment="1">
      <alignment horizontal="center" vertical="center"/>
    </xf>
    <xf numFmtId="0" fontId="12" fillId="0" borderId="0" xfId="9" applyFont="1" applyFill="1" applyBorder="1" applyAlignment="1" applyProtection="1">
      <alignment vertical="center"/>
    </xf>
    <xf numFmtId="177" fontId="12" fillId="0" borderId="0" xfId="9" applyNumberFormat="1" applyFont="1" applyFill="1" applyBorder="1" applyAlignment="1" applyProtection="1">
      <alignment horizontal="center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178" fontId="25" fillId="0" borderId="2" xfId="3" applyNumberFormat="1" applyFont="1" applyFill="1" applyAlignment="1">
      <alignment horizontal="right" vertical="center"/>
    </xf>
    <xf numFmtId="0" fontId="25" fillId="2" borderId="0" xfId="0" applyFont="1" applyFill="1" applyAlignment="1">
      <alignment horizontal="left" vertical="center"/>
    </xf>
    <xf numFmtId="177" fontId="25" fillId="0" borderId="0" xfId="0" applyNumberFormat="1" applyFont="1" applyAlignment="1">
      <alignment horizontal="center" vertical="center"/>
    </xf>
    <xf numFmtId="9" fontId="25" fillId="0" borderId="0" xfId="5" applyFont="1" applyAlignment="1">
      <alignment vertical="center"/>
    </xf>
    <xf numFmtId="179" fontId="25" fillId="0" borderId="0" xfId="0" applyNumberFormat="1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center" vertical="center" textRotation="90" shrinkToFit="1"/>
    </xf>
    <xf numFmtId="0" fontId="7" fillId="5" borderId="0" xfId="1" applyFont="1" applyFill="1" applyBorder="1" applyAlignment="1">
      <alignment vertical="center"/>
    </xf>
    <xf numFmtId="49" fontId="17" fillId="2" borderId="4" xfId="8" applyNumberFormat="1" applyFont="1" applyFill="1" applyBorder="1" applyAlignment="1">
      <alignment vertical="center"/>
    </xf>
    <xf numFmtId="180" fontId="12" fillId="0" borderId="0" xfId="0" applyNumberFormat="1" applyFont="1" applyAlignment="1">
      <alignment vertical="center"/>
    </xf>
    <xf numFmtId="180" fontId="12" fillId="0" borderId="0" xfId="0" applyNumberFormat="1" applyFont="1" applyAlignment="1">
      <alignment horizontal="left" vertical="center"/>
    </xf>
    <xf numFmtId="180" fontId="25" fillId="0" borderId="0" xfId="0" applyNumberFormat="1" applyFont="1" applyAlignment="1">
      <alignment vertical="center"/>
    </xf>
    <xf numFmtId="180" fontId="15" fillId="3" borderId="0" xfId="0" applyNumberFormat="1" applyFont="1" applyFill="1" applyAlignment="1">
      <alignment horizontal="center" vertical="center" textRotation="255" wrapText="1"/>
    </xf>
    <xf numFmtId="180" fontId="12" fillId="2" borderId="4" xfId="0" applyNumberFormat="1" applyFont="1" applyFill="1" applyBorder="1" applyAlignment="1">
      <alignment vertical="center"/>
    </xf>
    <xf numFmtId="180" fontId="21" fillId="4" borderId="0" xfId="0" applyNumberFormat="1" applyFont="1" applyFill="1" applyAlignment="1">
      <alignment vertical="center"/>
    </xf>
    <xf numFmtId="0" fontId="16" fillId="0" borderId="0" xfId="0" applyFont="1" applyAlignment="1">
      <alignment horizontal="center" vertical="center" wrapText="1"/>
    </xf>
    <xf numFmtId="9" fontId="14" fillId="3" borderId="0" xfId="5" applyFont="1" applyFill="1" applyAlignment="1">
      <alignment horizontal="center" vertical="center" textRotation="255" wrapText="1"/>
    </xf>
    <xf numFmtId="0" fontId="25" fillId="2" borderId="0" xfId="0" applyFont="1" applyFill="1" applyAlignment="1">
      <alignment horizontal="center" vertical="center"/>
    </xf>
    <xf numFmtId="0" fontId="12" fillId="2" borderId="4" xfId="6" applyFont="1" applyFill="1" applyBorder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2" fillId="0" borderId="0" xfId="9" applyFont="1" applyFill="1" applyBorder="1" applyAlignment="1" applyProtection="1">
      <alignment horizontal="center" vertical="center"/>
    </xf>
  </cellXfs>
  <cellStyles count="10">
    <cellStyle name="タイトル" xfId="1" builtinId="15"/>
    <cellStyle name="タスク" xfId="8" xr:uid="{52B5C976-5379-4C0A-81CF-57B5D15FC405}"/>
    <cellStyle name="パーセント 2" xfId="5" xr:uid="{AC7730BB-290C-467B-80A1-A0892C27B4FC}"/>
    <cellStyle name="ハイパーリンク" xfId="9" builtinId="8"/>
    <cellStyle name="プロジェクトの開始" xfId="4" xr:uid="{B5258E20-8979-40DF-B37D-4BF2CF9104DE}"/>
    <cellStyle name="見出し 2" xfId="2" builtinId="17"/>
    <cellStyle name="見出し 3" xfId="3" builtinId="18"/>
    <cellStyle name="日付" xfId="7" xr:uid="{6599ADB4-BB5C-44CC-962C-995AF603B449}"/>
    <cellStyle name="標準" xfId="0" builtinId="0"/>
    <cellStyle name="名前" xfId="6" xr:uid="{9DED3C6A-D1AF-4070-9A8E-C704EBB76B18}"/>
  </cellStyles>
  <dxfs count="18">
    <dxf>
      <fill>
        <patternFill patternType="solid">
          <fgColor auto="1"/>
          <bgColor rgb="FFFFFF00"/>
        </patternFill>
      </fill>
    </dxf>
    <dxf>
      <fill>
        <patternFill patternType="solid">
          <fgColor rgb="FF0070C0"/>
          <bgColor rgb="FF99CCFF"/>
        </patternFill>
      </fill>
    </dxf>
    <dxf>
      <fill>
        <patternFill patternType="solid">
          <fgColor auto="1"/>
          <bgColor rgb="FF3399FF"/>
        </patternFill>
      </fill>
    </dxf>
    <dxf>
      <fill>
        <patternFill patternType="solid">
          <fgColor auto="1"/>
          <bgColor rgb="FF9966FF"/>
        </patternFill>
      </fill>
    </dxf>
    <dxf>
      <fill>
        <patternFill patternType="solid">
          <fgColor auto="1"/>
          <bgColor rgb="FF9999FF"/>
        </patternFill>
      </fill>
    </dxf>
    <dxf>
      <fill>
        <patternFill patternType="solid">
          <fgColor auto="1"/>
          <bgColor theme="5" tint="0.39994506668294322"/>
        </patternFill>
      </fill>
    </dxf>
    <dxf>
      <fill>
        <patternFill patternType="solid">
          <fgColor auto="1"/>
          <bgColor rgb="FFFF99CC"/>
        </patternFill>
      </fill>
    </dxf>
    <dxf>
      <fill>
        <patternFill patternType="solid">
          <fgColor auto="1"/>
          <bgColor theme="6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 patternType="solid">
          <bgColor theme="2" tint="-0.499984740745262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ont>
        <color theme="0"/>
      </font>
      <fill>
        <patternFill>
          <bgColor theme="9" tint="-0.2499465926084170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971550</xdr:colOff>
      <xdr:row>274</xdr:row>
      <xdr:rowOff>190500</xdr:rowOff>
    </xdr:from>
    <xdr:ext cx="184731" cy="26456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117422C-CF6A-429E-B29A-7DFDA72224C9}"/>
            </a:ext>
          </a:extLst>
        </xdr:cNvPr>
        <xdr:cNvSpPr txBox="1"/>
      </xdr:nvSpPr>
      <xdr:spPr>
        <a:xfrm>
          <a:off x="4152900" y="7637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7</xdr:col>
      <xdr:colOff>971550</xdr:colOff>
      <xdr:row>274</xdr:row>
      <xdr:rowOff>190500</xdr:rowOff>
    </xdr:from>
    <xdr:ext cx="184731" cy="264560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4FDF8F01-CEA2-454F-9F37-0A1C94BF0BF9}"/>
            </a:ext>
          </a:extLst>
        </xdr:cNvPr>
        <xdr:cNvSpPr txBox="1"/>
      </xdr:nvSpPr>
      <xdr:spPr>
        <a:xfrm>
          <a:off x="4152900" y="7637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9</xdr:col>
      <xdr:colOff>971550</xdr:colOff>
      <xdr:row>274</xdr:row>
      <xdr:rowOff>190500</xdr:rowOff>
    </xdr:from>
    <xdr:ext cx="184731" cy="26456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D1CB5AFD-EB81-40A3-B1E5-3B28D5770650}"/>
            </a:ext>
          </a:extLst>
        </xdr:cNvPr>
        <xdr:cNvSpPr txBox="1"/>
      </xdr:nvSpPr>
      <xdr:spPr>
        <a:xfrm>
          <a:off x="4476750" y="7637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9</xdr:col>
      <xdr:colOff>971550</xdr:colOff>
      <xdr:row>274</xdr:row>
      <xdr:rowOff>190500</xdr:rowOff>
    </xdr:from>
    <xdr:ext cx="184731" cy="264560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D070C881-42B0-4C50-9C07-EFC9A019F2EE}"/>
            </a:ext>
          </a:extLst>
        </xdr:cNvPr>
        <xdr:cNvSpPr txBox="1"/>
      </xdr:nvSpPr>
      <xdr:spPr>
        <a:xfrm>
          <a:off x="4476750" y="76371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EA117-70A1-4F48-9934-ADBB69A804C6}">
  <dimension ref="A1:JH379"/>
  <sheetViews>
    <sheetView tabSelected="1" zoomScaleNormal="100" workbookViewId="0">
      <pane xSplit="14" ySplit="4" topLeftCell="O5" activePane="bottomRight" state="frozen"/>
      <selection pane="topRight" activeCell="N1" sqref="N1"/>
      <selection pane="bottomLeft" activeCell="A5" sqref="A5"/>
      <selection pane="bottomRight" activeCell="L5" sqref="L5"/>
    </sheetView>
  </sheetViews>
  <sheetFormatPr defaultColWidth="9.25" defaultRowHeight="13.5" outlineLevelCol="1" x14ac:dyDescent="0.4"/>
  <cols>
    <col min="1" max="1" width="11.25" style="1" bestFit="1" customWidth="1"/>
    <col min="2" max="4" width="3.125" style="1" customWidth="1"/>
    <col min="5" max="5" width="42" style="1" customWidth="1"/>
    <col min="6" max="6" width="3.5" style="1" customWidth="1" outlineLevel="1"/>
    <col min="7" max="7" width="9.75" style="1" bestFit="1" customWidth="1" outlineLevel="1"/>
    <col min="8" max="8" width="25.375" style="1" customWidth="1" outlineLevel="1"/>
    <col min="9" max="9" width="3.5" style="18" customWidth="1"/>
    <col min="10" max="10" width="25.375" style="1" customWidth="1" outlineLevel="1"/>
    <col min="11" max="13" width="6.375" style="18" bestFit="1" customWidth="1" outlineLevel="1"/>
    <col min="14" max="14" width="6.375" style="18" bestFit="1" customWidth="1"/>
    <col min="15" max="15" width="7.5" style="1" customWidth="1"/>
    <col min="16" max="16" width="6.625" style="1" bestFit="1" customWidth="1"/>
    <col min="17" max="17" width="3.625" style="18" customWidth="1" outlineLevel="1"/>
    <col min="18" max="18" width="7" style="9" customWidth="1"/>
    <col min="19" max="20" width="5.875" style="9" customWidth="1" outlineLevel="1"/>
    <col min="21" max="21" width="4" style="62" customWidth="1" outlineLevel="1"/>
    <col min="22" max="23" width="5.875" style="9" customWidth="1"/>
    <col min="24" max="24" width="4.375" style="8" customWidth="1"/>
    <col min="25" max="25" width="5.875" style="19" customWidth="1"/>
    <col min="26" max="26" width="6.125" style="9" customWidth="1"/>
    <col min="27" max="27" width="5.875" style="9" customWidth="1"/>
    <col min="28" max="265" width="1.875" style="12" customWidth="1"/>
    <col min="266" max="16384" width="9.25" style="12"/>
  </cols>
  <sheetData>
    <row r="1" spans="1:268" ht="17.25" thickBot="1" x14ac:dyDescent="0.45">
      <c r="E1" s="60" t="s">
        <v>22</v>
      </c>
      <c r="F1" s="2"/>
      <c r="G1" s="3"/>
      <c r="H1" s="3"/>
      <c r="I1" s="4"/>
      <c r="J1" s="3"/>
      <c r="K1" s="4"/>
      <c r="L1" s="4"/>
      <c r="M1" s="4"/>
      <c r="N1" s="4"/>
      <c r="O1" s="5" t="s">
        <v>0</v>
      </c>
      <c r="P1" s="6">
        <v>45796</v>
      </c>
      <c r="Q1" s="6"/>
      <c r="R1" s="7"/>
      <c r="S1" s="7"/>
      <c r="T1" s="7"/>
      <c r="W1" s="10"/>
      <c r="Y1" s="11"/>
      <c r="Z1" s="10"/>
      <c r="AA1" s="10"/>
    </row>
    <row r="2" spans="1:268" s="17" customFormat="1" ht="15" thickTop="1" thickBot="1" x14ac:dyDescent="0.45">
      <c r="A2" s="13"/>
      <c r="B2" s="14"/>
      <c r="C2" s="14"/>
      <c r="D2" s="14"/>
      <c r="E2" s="14" t="s">
        <v>1</v>
      </c>
      <c r="F2" s="13"/>
      <c r="G2" s="13"/>
      <c r="H2" s="13"/>
      <c r="I2" s="15"/>
      <c r="J2" s="13"/>
      <c r="K2" s="15"/>
      <c r="L2" s="15"/>
      <c r="M2" s="15"/>
      <c r="N2" s="15"/>
      <c r="O2" s="5" t="s">
        <v>2</v>
      </c>
      <c r="P2" s="6">
        <f ca="1">TODAY()</f>
        <v>45827</v>
      </c>
      <c r="Q2" s="6"/>
      <c r="R2" s="7"/>
      <c r="S2" s="7"/>
      <c r="T2" s="7"/>
      <c r="U2" s="63"/>
      <c r="V2" s="9"/>
      <c r="W2" s="9"/>
      <c r="X2" s="14"/>
      <c r="Y2" s="16"/>
      <c r="Z2" s="9"/>
      <c r="AA2" s="9"/>
      <c r="AB2" s="17" t="str">
        <f>TEXT(AB3,"YY/MM/DD")</f>
        <v>25/05/04</v>
      </c>
      <c r="AI2" s="17" t="str">
        <f>TEXT(AI3,"YY/MM/DD")</f>
        <v>25/05/11</v>
      </c>
      <c r="AP2" s="17" t="str">
        <f>TEXT(AP3,"YY/MM/DD")</f>
        <v>25/05/18</v>
      </c>
      <c r="AW2" s="17" t="str">
        <f>TEXT(AW3,"YY/MM/DD")</f>
        <v>25/05/25</v>
      </c>
      <c r="BD2" s="17" t="str">
        <f>TEXT(BD3,"YY/MM/DD")</f>
        <v>25/06/01</v>
      </c>
      <c r="BK2" s="17" t="str">
        <f>TEXT(BK3,"YY/MM/DD")</f>
        <v>25/06/08</v>
      </c>
      <c r="BR2" s="17" t="str">
        <f>TEXT(BR3,"YY/MM/DD")</f>
        <v>25/06/15</v>
      </c>
      <c r="BY2" s="17" t="str">
        <f>TEXT(BY3,"YY/MM/DD")</f>
        <v>25/06/22</v>
      </c>
      <c r="CF2" s="17" t="str">
        <f>TEXT(CF3,"YY/MM/DD")</f>
        <v>25/06/29</v>
      </c>
      <c r="CM2" s="17" t="str">
        <f>TEXT(CM3,"YY/MM/DD")</f>
        <v>25/07/06</v>
      </c>
      <c r="CT2" s="17" t="str">
        <f>TEXT(CT3,"YY/MM/DD")</f>
        <v>25/07/13</v>
      </c>
      <c r="DA2" s="17" t="str">
        <f>TEXT(DA3,"YY/MM/DD")</f>
        <v>25/07/20</v>
      </c>
      <c r="DH2" s="17" t="str">
        <f>TEXT(DH3,"YY/MM/DD")</f>
        <v>25/07/27</v>
      </c>
      <c r="DO2" s="17" t="str">
        <f>TEXT(DO3,"YY/MM/DD")</f>
        <v>25/08/03</v>
      </c>
      <c r="DV2" s="17" t="str">
        <f>TEXT(DV3,"YY/MM/DD")</f>
        <v>25/08/10</v>
      </c>
      <c r="EC2" s="17" t="str">
        <f>TEXT(EC3,"YY/MM/DD")</f>
        <v>25/08/17</v>
      </c>
      <c r="EJ2" s="17" t="str">
        <f>TEXT(EJ3,"YY/MM/DD")</f>
        <v>25/08/24</v>
      </c>
      <c r="EQ2" s="17" t="str">
        <f>TEXT(EQ3,"YY/MM/DD")</f>
        <v>25/08/31</v>
      </c>
      <c r="EX2" s="17" t="str">
        <f>TEXT(EX3,"YY/MM/DD")</f>
        <v>25/09/07</v>
      </c>
      <c r="FE2" s="17" t="str">
        <f>TEXT(FE3,"YY/MM/DD")</f>
        <v>25/09/14</v>
      </c>
      <c r="FL2" s="17" t="str">
        <f>TEXT(FL3,"YY/MM/DD")</f>
        <v>25/09/21</v>
      </c>
      <c r="FS2" s="17" t="str">
        <f>TEXT(FS3,"YY/MM/DD")</f>
        <v>25/09/28</v>
      </c>
      <c r="FZ2" s="17" t="str">
        <f>TEXT(FZ3,"YY/MM/DD")</f>
        <v>25/10/05</v>
      </c>
      <c r="GG2" s="17" t="str">
        <f>TEXT(GG3,"YY/MM/DD")</f>
        <v>25/10/12</v>
      </c>
      <c r="GN2" s="17" t="str">
        <f>TEXT(GN3,"YY/MM/DD")</f>
        <v>25/10/19</v>
      </c>
      <c r="GU2" s="17" t="str">
        <f>TEXT(GU3,"YY/MM/DD")</f>
        <v>25/10/26</v>
      </c>
      <c r="HB2" s="17" t="str">
        <f>TEXT(HB3,"YY/MM/DD")</f>
        <v>25/11/02</v>
      </c>
      <c r="HI2" s="17" t="str">
        <f>TEXT(HI3,"YY/MM/DD")</f>
        <v>25/11/09</v>
      </c>
      <c r="HP2" s="17" t="str">
        <f>TEXT(HP3,"YY/MM/DD")</f>
        <v>25/11/16</v>
      </c>
      <c r="HW2" s="17" t="str">
        <f>TEXT(HW3,"YY/MM/DD")</f>
        <v>25/11/23</v>
      </c>
      <c r="ID2" s="17" t="str">
        <f>TEXT(ID3,"YY/MM/DD")</f>
        <v>25/11/30</v>
      </c>
      <c r="IK2" s="17" t="str">
        <f>TEXT(IK3,"YY/MM/DD")</f>
        <v>25/12/07</v>
      </c>
      <c r="IR2" s="17" t="str">
        <f>TEXT(IR3,"YY/MM/DD")</f>
        <v>25/12/14</v>
      </c>
      <c r="IY2" s="17" t="str">
        <f>TEXT(IY3,"YY/MM/DD")</f>
        <v>25/12/21</v>
      </c>
    </row>
    <row r="3" spans="1:268" s="58" customFormat="1" ht="9.75" thickBot="1" x14ac:dyDescent="0.45">
      <c r="A3" s="51"/>
      <c r="B3" s="51"/>
      <c r="C3" s="51"/>
      <c r="D3" s="51"/>
      <c r="E3" s="51"/>
      <c r="F3" s="51"/>
      <c r="G3" s="51"/>
      <c r="H3" s="51"/>
      <c r="I3" s="52"/>
      <c r="J3" s="51"/>
      <c r="K3" s="52"/>
      <c r="L3" s="52"/>
      <c r="M3" s="52"/>
      <c r="N3" s="52"/>
      <c r="O3" s="53" t="s">
        <v>3</v>
      </c>
      <c r="P3" s="54">
        <v>-1</v>
      </c>
      <c r="Q3" s="70"/>
      <c r="R3" s="55"/>
      <c r="S3" s="55"/>
      <c r="T3" s="55"/>
      <c r="U3" s="64"/>
      <c r="V3" s="55"/>
      <c r="W3" s="55"/>
      <c r="X3" s="51"/>
      <c r="Y3" s="56"/>
      <c r="Z3" s="55"/>
      <c r="AA3" s="55"/>
      <c r="AB3" s="57">
        <f>開始日-WEEKDAY(開始日,1)+1+7*(週表示-1)</f>
        <v>45781</v>
      </c>
      <c r="AC3" s="57">
        <f>AB3+1</f>
        <v>45782</v>
      </c>
      <c r="AD3" s="57">
        <f t="shared" ref="AD3:CO3" si="0">AC3+1</f>
        <v>45783</v>
      </c>
      <c r="AE3" s="57">
        <f t="shared" si="0"/>
        <v>45784</v>
      </c>
      <c r="AF3" s="57">
        <f t="shared" si="0"/>
        <v>45785</v>
      </c>
      <c r="AG3" s="57">
        <f t="shared" si="0"/>
        <v>45786</v>
      </c>
      <c r="AH3" s="57">
        <f t="shared" si="0"/>
        <v>45787</v>
      </c>
      <c r="AI3" s="57">
        <f>AH3+1</f>
        <v>45788</v>
      </c>
      <c r="AJ3" s="57">
        <f>AI3+1</f>
        <v>45789</v>
      </c>
      <c r="AK3" s="57">
        <f t="shared" si="0"/>
        <v>45790</v>
      </c>
      <c r="AL3" s="57">
        <f t="shared" si="0"/>
        <v>45791</v>
      </c>
      <c r="AM3" s="57">
        <f t="shared" si="0"/>
        <v>45792</v>
      </c>
      <c r="AN3" s="57">
        <f t="shared" si="0"/>
        <v>45793</v>
      </c>
      <c r="AO3" s="57">
        <f t="shared" si="0"/>
        <v>45794</v>
      </c>
      <c r="AP3" s="57">
        <f>AO3+1</f>
        <v>45795</v>
      </c>
      <c r="AQ3" s="57">
        <f>AP3+1</f>
        <v>45796</v>
      </c>
      <c r="AR3" s="57">
        <f t="shared" si="0"/>
        <v>45797</v>
      </c>
      <c r="AS3" s="57">
        <f t="shared" si="0"/>
        <v>45798</v>
      </c>
      <c r="AT3" s="57">
        <f t="shared" si="0"/>
        <v>45799</v>
      </c>
      <c r="AU3" s="57">
        <f t="shared" si="0"/>
        <v>45800</v>
      </c>
      <c r="AV3" s="57">
        <f t="shared" si="0"/>
        <v>45801</v>
      </c>
      <c r="AW3" s="57">
        <f>AV3+1</f>
        <v>45802</v>
      </c>
      <c r="AX3" s="57">
        <f>AW3+1</f>
        <v>45803</v>
      </c>
      <c r="AY3" s="57">
        <f t="shared" si="0"/>
        <v>45804</v>
      </c>
      <c r="AZ3" s="57">
        <f t="shared" si="0"/>
        <v>45805</v>
      </c>
      <c r="BA3" s="57">
        <f t="shared" si="0"/>
        <v>45806</v>
      </c>
      <c r="BB3" s="57">
        <f t="shared" si="0"/>
        <v>45807</v>
      </c>
      <c r="BC3" s="57">
        <f t="shared" si="0"/>
        <v>45808</v>
      </c>
      <c r="BD3" s="57">
        <f>BC3+1</f>
        <v>45809</v>
      </c>
      <c r="BE3" s="57">
        <f>BD3+1</f>
        <v>45810</v>
      </c>
      <c r="BF3" s="57">
        <f t="shared" si="0"/>
        <v>45811</v>
      </c>
      <c r="BG3" s="57">
        <f t="shared" si="0"/>
        <v>45812</v>
      </c>
      <c r="BH3" s="57">
        <f t="shared" si="0"/>
        <v>45813</v>
      </c>
      <c r="BI3" s="57">
        <f t="shared" si="0"/>
        <v>45814</v>
      </c>
      <c r="BJ3" s="57">
        <f t="shared" si="0"/>
        <v>45815</v>
      </c>
      <c r="BK3" s="57">
        <f>BJ3+1</f>
        <v>45816</v>
      </c>
      <c r="BL3" s="57">
        <f>BK3+1</f>
        <v>45817</v>
      </c>
      <c r="BM3" s="57">
        <f t="shared" si="0"/>
        <v>45818</v>
      </c>
      <c r="BN3" s="57">
        <f t="shared" si="0"/>
        <v>45819</v>
      </c>
      <c r="BO3" s="57">
        <f t="shared" si="0"/>
        <v>45820</v>
      </c>
      <c r="BP3" s="57">
        <f t="shared" si="0"/>
        <v>45821</v>
      </c>
      <c r="BQ3" s="57">
        <f t="shared" si="0"/>
        <v>45822</v>
      </c>
      <c r="BR3" s="57">
        <f t="shared" si="0"/>
        <v>45823</v>
      </c>
      <c r="BS3" s="57">
        <f t="shared" si="0"/>
        <v>45824</v>
      </c>
      <c r="BT3" s="57">
        <f t="shared" si="0"/>
        <v>45825</v>
      </c>
      <c r="BU3" s="57">
        <f t="shared" si="0"/>
        <v>45826</v>
      </c>
      <c r="BV3" s="57">
        <f t="shared" si="0"/>
        <v>45827</v>
      </c>
      <c r="BW3" s="57">
        <f t="shared" si="0"/>
        <v>45828</v>
      </c>
      <c r="BX3" s="57">
        <f t="shared" si="0"/>
        <v>45829</v>
      </c>
      <c r="BY3" s="57">
        <f t="shared" si="0"/>
        <v>45830</v>
      </c>
      <c r="BZ3" s="57">
        <f t="shared" si="0"/>
        <v>45831</v>
      </c>
      <c r="CA3" s="57">
        <f t="shared" si="0"/>
        <v>45832</v>
      </c>
      <c r="CB3" s="57">
        <f t="shared" si="0"/>
        <v>45833</v>
      </c>
      <c r="CC3" s="57">
        <f t="shared" si="0"/>
        <v>45834</v>
      </c>
      <c r="CD3" s="57">
        <f t="shared" si="0"/>
        <v>45835</v>
      </c>
      <c r="CE3" s="57">
        <f t="shared" si="0"/>
        <v>45836</v>
      </c>
      <c r="CF3" s="57">
        <f t="shared" si="0"/>
        <v>45837</v>
      </c>
      <c r="CG3" s="57">
        <f t="shared" si="0"/>
        <v>45838</v>
      </c>
      <c r="CH3" s="57">
        <f t="shared" si="0"/>
        <v>45839</v>
      </c>
      <c r="CI3" s="57">
        <f t="shared" si="0"/>
        <v>45840</v>
      </c>
      <c r="CJ3" s="57">
        <f t="shared" si="0"/>
        <v>45841</v>
      </c>
      <c r="CK3" s="57">
        <f t="shared" si="0"/>
        <v>45842</v>
      </c>
      <c r="CL3" s="57">
        <f t="shared" si="0"/>
        <v>45843</v>
      </c>
      <c r="CM3" s="57">
        <f t="shared" si="0"/>
        <v>45844</v>
      </c>
      <c r="CN3" s="57">
        <f t="shared" si="0"/>
        <v>45845</v>
      </c>
      <c r="CO3" s="57">
        <f t="shared" si="0"/>
        <v>45846</v>
      </c>
      <c r="CP3" s="57">
        <f t="shared" ref="CP3:FA3" si="1">CO3+1</f>
        <v>45847</v>
      </c>
      <c r="CQ3" s="57">
        <f t="shared" si="1"/>
        <v>45848</v>
      </c>
      <c r="CR3" s="57">
        <f t="shared" si="1"/>
        <v>45849</v>
      </c>
      <c r="CS3" s="57">
        <f t="shared" si="1"/>
        <v>45850</v>
      </c>
      <c r="CT3" s="57">
        <f t="shared" si="1"/>
        <v>45851</v>
      </c>
      <c r="CU3" s="57">
        <f t="shared" si="1"/>
        <v>45852</v>
      </c>
      <c r="CV3" s="57">
        <f t="shared" si="1"/>
        <v>45853</v>
      </c>
      <c r="CW3" s="57">
        <f t="shared" si="1"/>
        <v>45854</v>
      </c>
      <c r="CX3" s="57">
        <f t="shared" si="1"/>
        <v>45855</v>
      </c>
      <c r="CY3" s="57">
        <f t="shared" si="1"/>
        <v>45856</v>
      </c>
      <c r="CZ3" s="57">
        <f t="shared" si="1"/>
        <v>45857</v>
      </c>
      <c r="DA3" s="57">
        <f t="shared" si="1"/>
        <v>45858</v>
      </c>
      <c r="DB3" s="57">
        <f t="shared" si="1"/>
        <v>45859</v>
      </c>
      <c r="DC3" s="57">
        <f t="shared" si="1"/>
        <v>45860</v>
      </c>
      <c r="DD3" s="57">
        <f t="shared" si="1"/>
        <v>45861</v>
      </c>
      <c r="DE3" s="57">
        <f t="shared" si="1"/>
        <v>45862</v>
      </c>
      <c r="DF3" s="57">
        <f t="shared" si="1"/>
        <v>45863</v>
      </c>
      <c r="DG3" s="57">
        <f t="shared" si="1"/>
        <v>45864</v>
      </c>
      <c r="DH3" s="57">
        <f t="shared" si="1"/>
        <v>45865</v>
      </c>
      <c r="DI3" s="57">
        <f t="shared" si="1"/>
        <v>45866</v>
      </c>
      <c r="DJ3" s="57">
        <f t="shared" si="1"/>
        <v>45867</v>
      </c>
      <c r="DK3" s="57">
        <f t="shared" si="1"/>
        <v>45868</v>
      </c>
      <c r="DL3" s="57">
        <f t="shared" si="1"/>
        <v>45869</v>
      </c>
      <c r="DM3" s="57">
        <f t="shared" si="1"/>
        <v>45870</v>
      </c>
      <c r="DN3" s="57">
        <f t="shared" si="1"/>
        <v>45871</v>
      </c>
      <c r="DO3" s="57">
        <f t="shared" si="1"/>
        <v>45872</v>
      </c>
      <c r="DP3" s="57">
        <f t="shared" si="1"/>
        <v>45873</v>
      </c>
      <c r="DQ3" s="57">
        <f t="shared" si="1"/>
        <v>45874</v>
      </c>
      <c r="DR3" s="57">
        <f t="shared" si="1"/>
        <v>45875</v>
      </c>
      <c r="DS3" s="57">
        <f t="shared" si="1"/>
        <v>45876</v>
      </c>
      <c r="DT3" s="57">
        <f t="shared" si="1"/>
        <v>45877</v>
      </c>
      <c r="DU3" s="57">
        <f t="shared" si="1"/>
        <v>45878</v>
      </c>
      <c r="DV3" s="57">
        <f t="shared" si="1"/>
        <v>45879</v>
      </c>
      <c r="DW3" s="57">
        <f t="shared" si="1"/>
        <v>45880</v>
      </c>
      <c r="DX3" s="57">
        <f t="shared" si="1"/>
        <v>45881</v>
      </c>
      <c r="DY3" s="57">
        <f t="shared" si="1"/>
        <v>45882</v>
      </c>
      <c r="DZ3" s="57">
        <f t="shared" si="1"/>
        <v>45883</v>
      </c>
      <c r="EA3" s="57">
        <f t="shared" si="1"/>
        <v>45884</v>
      </c>
      <c r="EB3" s="57">
        <f t="shared" si="1"/>
        <v>45885</v>
      </c>
      <c r="EC3" s="57">
        <f t="shared" si="1"/>
        <v>45886</v>
      </c>
      <c r="ED3" s="57">
        <f t="shared" si="1"/>
        <v>45887</v>
      </c>
      <c r="EE3" s="57">
        <f t="shared" si="1"/>
        <v>45888</v>
      </c>
      <c r="EF3" s="57">
        <f t="shared" si="1"/>
        <v>45889</v>
      </c>
      <c r="EG3" s="57">
        <f t="shared" si="1"/>
        <v>45890</v>
      </c>
      <c r="EH3" s="57">
        <f t="shared" si="1"/>
        <v>45891</v>
      </c>
      <c r="EI3" s="57">
        <f t="shared" si="1"/>
        <v>45892</v>
      </c>
      <c r="EJ3" s="57">
        <f t="shared" si="1"/>
        <v>45893</v>
      </c>
      <c r="EK3" s="57">
        <f t="shared" si="1"/>
        <v>45894</v>
      </c>
      <c r="EL3" s="57">
        <f t="shared" si="1"/>
        <v>45895</v>
      </c>
      <c r="EM3" s="57">
        <f t="shared" si="1"/>
        <v>45896</v>
      </c>
      <c r="EN3" s="57">
        <f t="shared" si="1"/>
        <v>45897</v>
      </c>
      <c r="EO3" s="57">
        <f t="shared" si="1"/>
        <v>45898</v>
      </c>
      <c r="EP3" s="57">
        <f t="shared" si="1"/>
        <v>45899</v>
      </c>
      <c r="EQ3" s="57">
        <f t="shared" si="1"/>
        <v>45900</v>
      </c>
      <c r="ER3" s="57">
        <f t="shared" si="1"/>
        <v>45901</v>
      </c>
      <c r="ES3" s="57">
        <f t="shared" si="1"/>
        <v>45902</v>
      </c>
      <c r="ET3" s="57">
        <f t="shared" si="1"/>
        <v>45903</v>
      </c>
      <c r="EU3" s="57">
        <f t="shared" si="1"/>
        <v>45904</v>
      </c>
      <c r="EV3" s="57">
        <f t="shared" si="1"/>
        <v>45905</v>
      </c>
      <c r="EW3" s="57">
        <f t="shared" si="1"/>
        <v>45906</v>
      </c>
      <c r="EX3" s="57">
        <f t="shared" si="1"/>
        <v>45907</v>
      </c>
      <c r="EY3" s="57">
        <f t="shared" si="1"/>
        <v>45908</v>
      </c>
      <c r="EZ3" s="57">
        <f t="shared" si="1"/>
        <v>45909</v>
      </c>
      <c r="FA3" s="57">
        <f t="shared" si="1"/>
        <v>45910</v>
      </c>
      <c r="FB3" s="57">
        <f t="shared" ref="FB3:HM3" si="2">FA3+1</f>
        <v>45911</v>
      </c>
      <c r="FC3" s="57">
        <f t="shared" si="2"/>
        <v>45912</v>
      </c>
      <c r="FD3" s="57">
        <f t="shared" si="2"/>
        <v>45913</v>
      </c>
      <c r="FE3" s="57">
        <f t="shared" si="2"/>
        <v>45914</v>
      </c>
      <c r="FF3" s="57">
        <f t="shared" si="2"/>
        <v>45915</v>
      </c>
      <c r="FG3" s="57">
        <f t="shared" si="2"/>
        <v>45916</v>
      </c>
      <c r="FH3" s="57">
        <f t="shared" si="2"/>
        <v>45917</v>
      </c>
      <c r="FI3" s="57">
        <f t="shared" si="2"/>
        <v>45918</v>
      </c>
      <c r="FJ3" s="57">
        <f t="shared" si="2"/>
        <v>45919</v>
      </c>
      <c r="FK3" s="57">
        <f t="shared" si="2"/>
        <v>45920</v>
      </c>
      <c r="FL3" s="57">
        <f t="shared" si="2"/>
        <v>45921</v>
      </c>
      <c r="FM3" s="57">
        <f t="shared" si="2"/>
        <v>45922</v>
      </c>
      <c r="FN3" s="57">
        <f t="shared" si="2"/>
        <v>45923</v>
      </c>
      <c r="FO3" s="57">
        <f t="shared" si="2"/>
        <v>45924</v>
      </c>
      <c r="FP3" s="57">
        <f t="shared" si="2"/>
        <v>45925</v>
      </c>
      <c r="FQ3" s="57">
        <f t="shared" si="2"/>
        <v>45926</v>
      </c>
      <c r="FR3" s="57">
        <f t="shared" si="2"/>
        <v>45927</v>
      </c>
      <c r="FS3" s="57">
        <f t="shared" si="2"/>
        <v>45928</v>
      </c>
      <c r="FT3" s="57">
        <f t="shared" si="2"/>
        <v>45929</v>
      </c>
      <c r="FU3" s="57">
        <f t="shared" si="2"/>
        <v>45930</v>
      </c>
      <c r="FV3" s="57">
        <f t="shared" si="2"/>
        <v>45931</v>
      </c>
      <c r="FW3" s="57">
        <f t="shared" si="2"/>
        <v>45932</v>
      </c>
      <c r="FX3" s="57">
        <f t="shared" si="2"/>
        <v>45933</v>
      </c>
      <c r="FY3" s="57">
        <f t="shared" si="2"/>
        <v>45934</v>
      </c>
      <c r="FZ3" s="57">
        <f t="shared" si="2"/>
        <v>45935</v>
      </c>
      <c r="GA3" s="57">
        <f t="shared" si="2"/>
        <v>45936</v>
      </c>
      <c r="GB3" s="57">
        <f t="shared" si="2"/>
        <v>45937</v>
      </c>
      <c r="GC3" s="57">
        <f t="shared" si="2"/>
        <v>45938</v>
      </c>
      <c r="GD3" s="57">
        <f t="shared" si="2"/>
        <v>45939</v>
      </c>
      <c r="GE3" s="57">
        <f t="shared" si="2"/>
        <v>45940</v>
      </c>
      <c r="GF3" s="57">
        <f t="shared" si="2"/>
        <v>45941</v>
      </c>
      <c r="GG3" s="57">
        <f t="shared" si="2"/>
        <v>45942</v>
      </c>
      <c r="GH3" s="57">
        <f t="shared" si="2"/>
        <v>45943</v>
      </c>
      <c r="GI3" s="57">
        <f t="shared" si="2"/>
        <v>45944</v>
      </c>
      <c r="GJ3" s="57">
        <f t="shared" si="2"/>
        <v>45945</v>
      </c>
      <c r="GK3" s="57">
        <f t="shared" si="2"/>
        <v>45946</v>
      </c>
      <c r="GL3" s="57">
        <f t="shared" si="2"/>
        <v>45947</v>
      </c>
      <c r="GM3" s="57">
        <f t="shared" si="2"/>
        <v>45948</v>
      </c>
      <c r="GN3" s="57">
        <f t="shared" si="2"/>
        <v>45949</v>
      </c>
      <c r="GO3" s="57">
        <f t="shared" si="2"/>
        <v>45950</v>
      </c>
      <c r="GP3" s="57">
        <f t="shared" si="2"/>
        <v>45951</v>
      </c>
      <c r="GQ3" s="57">
        <f t="shared" si="2"/>
        <v>45952</v>
      </c>
      <c r="GR3" s="57">
        <f t="shared" si="2"/>
        <v>45953</v>
      </c>
      <c r="GS3" s="57">
        <f t="shared" si="2"/>
        <v>45954</v>
      </c>
      <c r="GT3" s="57">
        <f t="shared" si="2"/>
        <v>45955</v>
      </c>
      <c r="GU3" s="57">
        <f t="shared" si="2"/>
        <v>45956</v>
      </c>
      <c r="GV3" s="57">
        <f t="shared" si="2"/>
        <v>45957</v>
      </c>
      <c r="GW3" s="57">
        <f t="shared" si="2"/>
        <v>45958</v>
      </c>
      <c r="GX3" s="57">
        <f t="shared" si="2"/>
        <v>45959</v>
      </c>
      <c r="GY3" s="57">
        <f t="shared" si="2"/>
        <v>45960</v>
      </c>
      <c r="GZ3" s="57">
        <f t="shared" si="2"/>
        <v>45961</v>
      </c>
      <c r="HA3" s="57">
        <f t="shared" si="2"/>
        <v>45962</v>
      </c>
      <c r="HB3" s="57">
        <f t="shared" si="2"/>
        <v>45963</v>
      </c>
      <c r="HC3" s="57">
        <f t="shared" si="2"/>
        <v>45964</v>
      </c>
      <c r="HD3" s="57">
        <f t="shared" si="2"/>
        <v>45965</v>
      </c>
      <c r="HE3" s="57">
        <f t="shared" si="2"/>
        <v>45966</v>
      </c>
      <c r="HF3" s="57">
        <f t="shared" si="2"/>
        <v>45967</v>
      </c>
      <c r="HG3" s="57">
        <f t="shared" si="2"/>
        <v>45968</v>
      </c>
      <c r="HH3" s="57">
        <f t="shared" si="2"/>
        <v>45969</v>
      </c>
      <c r="HI3" s="57">
        <f t="shared" si="2"/>
        <v>45970</v>
      </c>
      <c r="HJ3" s="57">
        <f t="shared" si="2"/>
        <v>45971</v>
      </c>
      <c r="HK3" s="57">
        <f t="shared" si="2"/>
        <v>45972</v>
      </c>
      <c r="HL3" s="57">
        <f t="shared" si="2"/>
        <v>45973</v>
      </c>
      <c r="HM3" s="57">
        <f t="shared" si="2"/>
        <v>45974</v>
      </c>
      <c r="HN3" s="57">
        <f t="shared" ref="HN3:JE3" si="3">HM3+1</f>
        <v>45975</v>
      </c>
      <c r="HO3" s="57">
        <f t="shared" si="3"/>
        <v>45976</v>
      </c>
      <c r="HP3" s="57">
        <f t="shared" si="3"/>
        <v>45977</v>
      </c>
      <c r="HQ3" s="57">
        <f t="shared" si="3"/>
        <v>45978</v>
      </c>
      <c r="HR3" s="57">
        <f t="shared" si="3"/>
        <v>45979</v>
      </c>
      <c r="HS3" s="57">
        <f t="shared" si="3"/>
        <v>45980</v>
      </c>
      <c r="HT3" s="57">
        <f t="shared" si="3"/>
        <v>45981</v>
      </c>
      <c r="HU3" s="57">
        <f t="shared" si="3"/>
        <v>45982</v>
      </c>
      <c r="HV3" s="57">
        <f t="shared" si="3"/>
        <v>45983</v>
      </c>
      <c r="HW3" s="57">
        <f t="shared" si="3"/>
        <v>45984</v>
      </c>
      <c r="HX3" s="57">
        <f t="shared" si="3"/>
        <v>45985</v>
      </c>
      <c r="HY3" s="57">
        <f t="shared" si="3"/>
        <v>45986</v>
      </c>
      <c r="HZ3" s="57">
        <f t="shared" si="3"/>
        <v>45987</v>
      </c>
      <c r="IA3" s="57">
        <f t="shared" si="3"/>
        <v>45988</v>
      </c>
      <c r="IB3" s="57">
        <f t="shared" si="3"/>
        <v>45989</v>
      </c>
      <c r="IC3" s="57">
        <f t="shared" si="3"/>
        <v>45990</v>
      </c>
      <c r="ID3" s="57">
        <f t="shared" si="3"/>
        <v>45991</v>
      </c>
      <c r="IE3" s="57">
        <f t="shared" si="3"/>
        <v>45992</v>
      </c>
      <c r="IF3" s="57">
        <f t="shared" si="3"/>
        <v>45993</v>
      </c>
      <c r="IG3" s="57">
        <f t="shared" si="3"/>
        <v>45994</v>
      </c>
      <c r="IH3" s="57">
        <f t="shared" si="3"/>
        <v>45995</v>
      </c>
      <c r="II3" s="57">
        <f t="shared" si="3"/>
        <v>45996</v>
      </c>
      <c r="IJ3" s="57">
        <f t="shared" si="3"/>
        <v>45997</v>
      </c>
      <c r="IK3" s="57">
        <f t="shared" si="3"/>
        <v>45998</v>
      </c>
      <c r="IL3" s="57">
        <f t="shared" si="3"/>
        <v>45999</v>
      </c>
      <c r="IM3" s="57">
        <f t="shared" si="3"/>
        <v>46000</v>
      </c>
      <c r="IN3" s="57">
        <f t="shared" si="3"/>
        <v>46001</v>
      </c>
      <c r="IO3" s="57">
        <f t="shared" si="3"/>
        <v>46002</v>
      </c>
      <c r="IP3" s="57">
        <f t="shared" si="3"/>
        <v>46003</v>
      </c>
      <c r="IQ3" s="57">
        <f t="shared" si="3"/>
        <v>46004</v>
      </c>
      <c r="IR3" s="57">
        <f t="shared" si="3"/>
        <v>46005</v>
      </c>
      <c r="IS3" s="57">
        <f t="shared" si="3"/>
        <v>46006</v>
      </c>
      <c r="IT3" s="57">
        <f t="shared" si="3"/>
        <v>46007</v>
      </c>
      <c r="IU3" s="57">
        <f t="shared" si="3"/>
        <v>46008</v>
      </c>
      <c r="IV3" s="57">
        <f t="shared" si="3"/>
        <v>46009</v>
      </c>
      <c r="IW3" s="57">
        <f t="shared" si="3"/>
        <v>46010</v>
      </c>
      <c r="IX3" s="57">
        <f t="shared" si="3"/>
        <v>46011</v>
      </c>
      <c r="IY3" s="57">
        <f t="shared" si="3"/>
        <v>46012</v>
      </c>
      <c r="IZ3" s="57">
        <f t="shared" si="3"/>
        <v>46013</v>
      </c>
      <c r="JA3" s="57">
        <f t="shared" si="3"/>
        <v>46014</v>
      </c>
      <c r="JB3" s="57">
        <f t="shared" si="3"/>
        <v>46015</v>
      </c>
      <c r="JC3" s="57">
        <f t="shared" si="3"/>
        <v>46016</v>
      </c>
      <c r="JD3" s="57">
        <f t="shared" si="3"/>
        <v>46017</v>
      </c>
      <c r="JE3" s="57">
        <f t="shared" si="3"/>
        <v>46018</v>
      </c>
    </row>
    <row r="4" spans="1:268" s="26" customFormat="1" ht="66.75" customHeight="1" x14ac:dyDescent="0.4">
      <c r="A4" s="20" t="s">
        <v>27</v>
      </c>
      <c r="B4" s="21" t="s">
        <v>4</v>
      </c>
      <c r="C4" s="21" t="s">
        <v>5</v>
      </c>
      <c r="D4" s="21" t="s">
        <v>23</v>
      </c>
      <c r="E4" s="20" t="s">
        <v>32</v>
      </c>
      <c r="F4" s="21" t="s">
        <v>26</v>
      </c>
      <c r="G4" s="21" t="s">
        <v>6</v>
      </c>
      <c r="H4" s="20" t="s">
        <v>33</v>
      </c>
      <c r="I4" s="21" t="s">
        <v>31</v>
      </c>
      <c r="J4" s="20" t="s">
        <v>34</v>
      </c>
      <c r="K4" s="21" t="s">
        <v>7</v>
      </c>
      <c r="L4" s="21" t="s">
        <v>8</v>
      </c>
      <c r="M4" s="21" t="s">
        <v>9</v>
      </c>
      <c r="N4" s="21" t="s">
        <v>10</v>
      </c>
      <c r="O4" s="22" t="s">
        <v>11</v>
      </c>
      <c r="P4" s="22" t="s">
        <v>28</v>
      </c>
      <c r="Q4" s="25" t="s">
        <v>29</v>
      </c>
      <c r="R4" s="25" t="s">
        <v>12</v>
      </c>
      <c r="S4" s="25" t="s">
        <v>13</v>
      </c>
      <c r="T4" s="25" t="s">
        <v>14</v>
      </c>
      <c r="U4" s="65" t="s">
        <v>15</v>
      </c>
      <c r="V4" s="24" t="s">
        <v>16</v>
      </c>
      <c r="W4" s="24" t="s">
        <v>17</v>
      </c>
      <c r="X4" s="23" t="s">
        <v>18</v>
      </c>
      <c r="Y4" s="69" t="s">
        <v>30</v>
      </c>
      <c r="Z4" s="25" t="s">
        <v>19</v>
      </c>
      <c r="AA4" s="25" t="s">
        <v>20</v>
      </c>
      <c r="AB4" s="59" t="str">
        <f>TEXT(AB3,"ddd")</f>
        <v>Sun</v>
      </c>
      <c r="AC4" s="59" t="str">
        <f t="shared" ref="AC4:CN4" si="4">TEXT(AC3,"ddd")</f>
        <v>Mon</v>
      </c>
      <c r="AD4" s="59" t="str">
        <f t="shared" si="4"/>
        <v>Tue</v>
      </c>
      <c r="AE4" s="59" t="str">
        <f t="shared" si="4"/>
        <v>Wed</v>
      </c>
      <c r="AF4" s="59" t="str">
        <f t="shared" si="4"/>
        <v>Thu</v>
      </c>
      <c r="AG4" s="59" t="str">
        <f t="shared" si="4"/>
        <v>Fri</v>
      </c>
      <c r="AH4" s="59" t="str">
        <f t="shared" si="4"/>
        <v>Sat</v>
      </c>
      <c r="AI4" s="59" t="str">
        <f t="shared" si="4"/>
        <v>Sun</v>
      </c>
      <c r="AJ4" s="59" t="str">
        <f t="shared" si="4"/>
        <v>Mon</v>
      </c>
      <c r="AK4" s="59" t="str">
        <f t="shared" si="4"/>
        <v>Tue</v>
      </c>
      <c r="AL4" s="59" t="str">
        <f t="shared" si="4"/>
        <v>Wed</v>
      </c>
      <c r="AM4" s="59" t="str">
        <f t="shared" si="4"/>
        <v>Thu</v>
      </c>
      <c r="AN4" s="59" t="str">
        <f t="shared" si="4"/>
        <v>Fri</v>
      </c>
      <c r="AO4" s="59" t="str">
        <f t="shared" si="4"/>
        <v>Sat</v>
      </c>
      <c r="AP4" s="59" t="str">
        <f t="shared" si="4"/>
        <v>Sun</v>
      </c>
      <c r="AQ4" s="59" t="str">
        <f t="shared" si="4"/>
        <v>Mon</v>
      </c>
      <c r="AR4" s="59" t="str">
        <f t="shared" si="4"/>
        <v>Tue</v>
      </c>
      <c r="AS4" s="59" t="str">
        <f t="shared" si="4"/>
        <v>Wed</v>
      </c>
      <c r="AT4" s="59" t="str">
        <f t="shared" si="4"/>
        <v>Thu</v>
      </c>
      <c r="AU4" s="59" t="str">
        <f t="shared" si="4"/>
        <v>Fri</v>
      </c>
      <c r="AV4" s="59" t="str">
        <f t="shared" si="4"/>
        <v>Sat</v>
      </c>
      <c r="AW4" s="59" t="str">
        <f t="shared" si="4"/>
        <v>Sun</v>
      </c>
      <c r="AX4" s="59" t="str">
        <f t="shared" si="4"/>
        <v>Mon</v>
      </c>
      <c r="AY4" s="59" t="str">
        <f t="shared" si="4"/>
        <v>Tue</v>
      </c>
      <c r="AZ4" s="59" t="str">
        <f t="shared" si="4"/>
        <v>Wed</v>
      </c>
      <c r="BA4" s="59" t="str">
        <f t="shared" si="4"/>
        <v>Thu</v>
      </c>
      <c r="BB4" s="59" t="str">
        <f t="shared" si="4"/>
        <v>Fri</v>
      </c>
      <c r="BC4" s="59" t="str">
        <f t="shared" si="4"/>
        <v>Sat</v>
      </c>
      <c r="BD4" s="59" t="str">
        <f t="shared" si="4"/>
        <v>Sun</v>
      </c>
      <c r="BE4" s="59" t="str">
        <f t="shared" si="4"/>
        <v>Mon</v>
      </c>
      <c r="BF4" s="59" t="str">
        <f t="shared" si="4"/>
        <v>Tue</v>
      </c>
      <c r="BG4" s="59" t="str">
        <f t="shared" si="4"/>
        <v>Wed</v>
      </c>
      <c r="BH4" s="59" t="str">
        <f t="shared" si="4"/>
        <v>Thu</v>
      </c>
      <c r="BI4" s="59" t="str">
        <f t="shared" si="4"/>
        <v>Fri</v>
      </c>
      <c r="BJ4" s="59" t="str">
        <f t="shared" si="4"/>
        <v>Sat</v>
      </c>
      <c r="BK4" s="59" t="str">
        <f t="shared" si="4"/>
        <v>Sun</v>
      </c>
      <c r="BL4" s="59" t="str">
        <f t="shared" si="4"/>
        <v>Mon</v>
      </c>
      <c r="BM4" s="59" t="str">
        <f t="shared" si="4"/>
        <v>Tue</v>
      </c>
      <c r="BN4" s="59" t="str">
        <f t="shared" si="4"/>
        <v>Wed</v>
      </c>
      <c r="BO4" s="59" t="str">
        <f t="shared" si="4"/>
        <v>Thu</v>
      </c>
      <c r="BP4" s="59" t="str">
        <f t="shared" si="4"/>
        <v>Fri</v>
      </c>
      <c r="BQ4" s="59" t="str">
        <f t="shared" si="4"/>
        <v>Sat</v>
      </c>
      <c r="BR4" s="59" t="str">
        <f t="shared" si="4"/>
        <v>Sun</v>
      </c>
      <c r="BS4" s="59" t="str">
        <f t="shared" si="4"/>
        <v>Mon</v>
      </c>
      <c r="BT4" s="59" t="str">
        <f t="shared" si="4"/>
        <v>Tue</v>
      </c>
      <c r="BU4" s="59" t="str">
        <f t="shared" si="4"/>
        <v>Wed</v>
      </c>
      <c r="BV4" s="59" t="str">
        <f t="shared" si="4"/>
        <v>Thu</v>
      </c>
      <c r="BW4" s="59" t="str">
        <f t="shared" si="4"/>
        <v>Fri</v>
      </c>
      <c r="BX4" s="59" t="str">
        <f t="shared" si="4"/>
        <v>Sat</v>
      </c>
      <c r="BY4" s="59" t="str">
        <f t="shared" si="4"/>
        <v>Sun</v>
      </c>
      <c r="BZ4" s="59" t="str">
        <f t="shared" si="4"/>
        <v>Mon</v>
      </c>
      <c r="CA4" s="59" t="str">
        <f t="shared" si="4"/>
        <v>Tue</v>
      </c>
      <c r="CB4" s="59" t="str">
        <f t="shared" si="4"/>
        <v>Wed</v>
      </c>
      <c r="CC4" s="59" t="str">
        <f t="shared" si="4"/>
        <v>Thu</v>
      </c>
      <c r="CD4" s="59" t="str">
        <f t="shared" si="4"/>
        <v>Fri</v>
      </c>
      <c r="CE4" s="59" t="str">
        <f t="shared" si="4"/>
        <v>Sat</v>
      </c>
      <c r="CF4" s="59" t="str">
        <f t="shared" si="4"/>
        <v>Sun</v>
      </c>
      <c r="CG4" s="59" t="str">
        <f t="shared" si="4"/>
        <v>Mon</v>
      </c>
      <c r="CH4" s="59" t="str">
        <f t="shared" si="4"/>
        <v>Tue</v>
      </c>
      <c r="CI4" s="59" t="str">
        <f t="shared" si="4"/>
        <v>Wed</v>
      </c>
      <c r="CJ4" s="59" t="str">
        <f t="shared" si="4"/>
        <v>Thu</v>
      </c>
      <c r="CK4" s="59" t="str">
        <f t="shared" si="4"/>
        <v>Fri</v>
      </c>
      <c r="CL4" s="59" t="str">
        <f t="shared" si="4"/>
        <v>Sat</v>
      </c>
      <c r="CM4" s="59" t="str">
        <f t="shared" si="4"/>
        <v>Sun</v>
      </c>
      <c r="CN4" s="59" t="str">
        <f t="shared" si="4"/>
        <v>Mon</v>
      </c>
      <c r="CO4" s="59" t="str">
        <f t="shared" ref="CO4:EZ4" si="5">TEXT(CO3,"ddd")</f>
        <v>Tue</v>
      </c>
      <c r="CP4" s="59" t="str">
        <f t="shared" si="5"/>
        <v>Wed</v>
      </c>
      <c r="CQ4" s="59" t="str">
        <f t="shared" si="5"/>
        <v>Thu</v>
      </c>
      <c r="CR4" s="59" t="str">
        <f t="shared" si="5"/>
        <v>Fri</v>
      </c>
      <c r="CS4" s="59" t="str">
        <f t="shared" si="5"/>
        <v>Sat</v>
      </c>
      <c r="CT4" s="59" t="str">
        <f t="shared" si="5"/>
        <v>Sun</v>
      </c>
      <c r="CU4" s="59" t="str">
        <f t="shared" si="5"/>
        <v>Mon</v>
      </c>
      <c r="CV4" s="59" t="str">
        <f t="shared" si="5"/>
        <v>Tue</v>
      </c>
      <c r="CW4" s="59" t="str">
        <f t="shared" si="5"/>
        <v>Wed</v>
      </c>
      <c r="CX4" s="59" t="str">
        <f t="shared" si="5"/>
        <v>Thu</v>
      </c>
      <c r="CY4" s="59" t="str">
        <f t="shared" si="5"/>
        <v>Fri</v>
      </c>
      <c r="CZ4" s="59" t="str">
        <f t="shared" si="5"/>
        <v>Sat</v>
      </c>
      <c r="DA4" s="59" t="str">
        <f t="shared" si="5"/>
        <v>Sun</v>
      </c>
      <c r="DB4" s="59" t="str">
        <f t="shared" si="5"/>
        <v>Mon</v>
      </c>
      <c r="DC4" s="59" t="str">
        <f t="shared" si="5"/>
        <v>Tue</v>
      </c>
      <c r="DD4" s="59" t="str">
        <f t="shared" si="5"/>
        <v>Wed</v>
      </c>
      <c r="DE4" s="59" t="str">
        <f t="shared" si="5"/>
        <v>Thu</v>
      </c>
      <c r="DF4" s="59" t="str">
        <f t="shared" si="5"/>
        <v>Fri</v>
      </c>
      <c r="DG4" s="59" t="str">
        <f t="shared" si="5"/>
        <v>Sat</v>
      </c>
      <c r="DH4" s="59" t="str">
        <f t="shared" si="5"/>
        <v>Sun</v>
      </c>
      <c r="DI4" s="59" t="str">
        <f t="shared" si="5"/>
        <v>Mon</v>
      </c>
      <c r="DJ4" s="59" t="str">
        <f t="shared" si="5"/>
        <v>Tue</v>
      </c>
      <c r="DK4" s="59" t="str">
        <f t="shared" si="5"/>
        <v>Wed</v>
      </c>
      <c r="DL4" s="59" t="str">
        <f t="shared" si="5"/>
        <v>Thu</v>
      </c>
      <c r="DM4" s="59" t="str">
        <f t="shared" si="5"/>
        <v>Fri</v>
      </c>
      <c r="DN4" s="59" t="str">
        <f t="shared" si="5"/>
        <v>Sat</v>
      </c>
      <c r="DO4" s="59" t="str">
        <f t="shared" si="5"/>
        <v>Sun</v>
      </c>
      <c r="DP4" s="59" t="str">
        <f t="shared" si="5"/>
        <v>Mon</v>
      </c>
      <c r="DQ4" s="59" t="str">
        <f t="shared" si="5"/>
        <v>Tue</v>
      </c>
      <c r="DR4" s="59" t="str">
        <f t="shared" si="5"/>
        <v>Wed</v>
      </c>
      <c r="DS4" s="59" t="str">
        <f t="shared" si="5"/>
        <v>Thu</v>
      </c>
      <c r="DT4" s="59" t="str">
        <f t="shared" si="5"/>
        <v>Fri</v>
      </c>
      <c r="DU4" s="59" t="str">
        <f t="shared" si="5"/>
        <v>Sat</v>
      </c>
      <c r="DV4" s="59" t="str">
        <f t="shared" si="5"/>
        <v>Sun</v>
      </c>
      <c r="DW4" s="59" t="str">
        <f t="shared" si="5"/>
        <v>Mon</v>
      </c>
      <c r="DX4" s="59" t="str">
        <f t="shared" si="5"/>
        <v>Tue</v>
      </c>
      <c r="DY4" s="59" t="str">
        <f t="shared" si="5"/>
        <v>Wed</v>
      </c>
      <c r="DZ4" s="59" t="str">
        <f t="shared" si="5"/>
        <v>Thu</v>
      </c>
      <c r="EA4" s="59" t="str">
        <f t="shared" si="5"/>
        <v>Fri</v>
      </c>
      <c r="EB4" s="59" t="str">
        <f t="shared" si="5"/>
        <v>Sat</v>
      </c>
      <c r="EC4" s="59" t="str">
        <f t="shared" si="5"/>
        <v>Sun</v>
      </c>
      <c r="ED4" s="59" t="str">
        <f t="shared" si="5"/>
        <v>Mon</v>
      </c>
      <c r="EE4" s="59" t="str">
        <f t="shared" si="5"/>
        <v>Tue</v>
      </c>
      <c r="EF4" s="59" t="str">
        <f t="shared" si="5"/>
        <v>Wed</v>
      </c>
      <c r="EG4" s="59" t="str">
        <f t="shared" si="5"/>
        <v>Thu</v>
      </c>
      <c r="EH4" s="59" t="str">
        <f t="shared" si="5"/>
        <v>Fri</v>
      </c>
      <c r="EI4" s="59" t="str">
        <f t="shared" si="5"/>
        <v>Sat</v>
      </c>
      <c r="EJ4" s="59" t="str">
        <f t="shared" si="5"/>
        <v>Sun</v>
      </c>
      <c r="EK4" s="59" t="str">
        <f t="shared" si="5"/>
        <v>Mon</v>
      </c>
      <c r="EL4" s="59" t="str">
        <f t="shared" si="5"/>
        <v>Tue</v>
      </c>
      <c r="EM4" s="59" t="str">
        <f t="shared" si="5"/>
        <v>Wed</v>
      </c>
      <c r="EN4" s="59" t="str">
        <f t="shared" si="5"/>
        <v>Thu</v>
      </c>
      <c r="EO4" s="59" t="str">
        <f t="shared" si="5"/>
        <v>Fri</v>
      </c>
      <c r="EP4" s="59" t="str">
        <f t="shared" si="5"/>
        <v>Sat</v>
      </c>
      <c r="EQ4" s="59" t="str">
        <f t="shared" si="5"/>
        <v>Sun</v>
      </c>
      <c r="ER4" s="59" t="str">
        <f t="shared" si="5"/>
        <v>Mon</v>
      </c>
      <c r="ES4" s="59" t="str">
        <f t="shared" si="5"/>
        <v>Tue</v>
      </c>
      <c r="ET4" s="59" t="str">
        <f t="shared" si="5"/>
        <v>Wed</v>
      </c>
      <c r="EU4" s="59" t="str">
        <f t="shared" si="5"/>
        <v>Thu</v>
      </c>
      <c r="EV4" s="59" t="str">
        <f t="shared" si="5"/>
        <v>Fri</v>
      </c>
      <c r="EW4" s="59" t="str">
        <f t="shared" si="5"/>
        <v>Sat</v>
      </c>
      <c r="EX4" s="59" t="str">
        <f t="shared" si="5"/>
        <v>Sun</v>
      </c>
      <c r="EY4" s="59" t="str">
        <f t="shared" si="5"/>
        <v>Mon</v>
      </c>
      <c r="EZ4" s="59" t="str">
        <f t="shared" si="5"/>
        <v>Tue</v>
      </c>
      <c r="FA4" s="59" t="str">
        <f t="shared" ref="FA4:HL4" si="6">TEXT(FA3,"ddd")</f>
        <v>Wed</v>
      </c>
      <c r="FB4" s="59" t="str">
        <f t="shared" si="6"/>
        <v>Thu</v>
      </c>
      <c r="FC4" s="59" t="str">
        <f t="shared" si="6"/>
        <v>Fri</v>
      </c>
      <c r="FD4" s="59" t="str">
        <f t="shared" si="6"/>
        <v>Sat</v>
      </c>
      <c r="FE4" s="59" t="str">
        <f t="shared" si="6"/>
        <v>Sun</v>
      </c>
      <c r="FF4" s="59" t="str">
        <f t="shared" si="6"/>
        <v>Mon</v>
      </c>
      <c r="FG4" s="59" t="str">
        <f t="shared" si="6"/>
        <v>Tue</v>
      </c>
      <c r="FH4" s="59" t="str">
        <f t="shared" si="6"/>
        <v>Wed</v>
      </c>
      <c r="FI4" s="59" t="str">
        <f t="shared" si="6"/>
        <v>Thu</v>
      </c>
      <c r="FJ4" s="59" t="str">
        <f t="shared" si="6"/>
        <v>Fri</v>
      </c>
      <c r="FK4" s="59" t="str">
        <f t="shared" si="6"/>
        <v>Sat</v>
      </c>
      <c r="FL4" s="59" t="str">
        <f t="shared" si="6"/>
        <v>Sun</v>
      </c>
      <c r="FM4" s="59" t="str">
        <f t="shared" si="6"/>
        <v>Mon</v>
      </c>
      <c r="FN4" s="59" t="str">
        <f t="shared" si="6"/>
        <v>Tue</v>
      </c>
      <c r="FO4" s="59" t="str">
        <f t="shared" si="6"/>
        <v>Wed</v>
      </c>
      <c r="FP4" s="59" t="str">
        <f t="shared" si="6"/>
        <v>Thu</v>
      </c>
      <c r="FQ4" s="59" t="str">
        <f t="shared" si="6"/>
        <v>Fri</v>
      </c>
      <c r="FR4" s="59" t="str">
        <f t="shared" si="6"/>
        <v>Sat</v>
      </c>
      <c r="FS4" s="59" t="str">
        <f t="shared" si="6"/>
        <v>Sun</v>
      </c>
      <c r="FT4" s="59" t="str">
        <f t="shared" si="6"/>
        <v>Mon</v>
      </c>
      <c r="FU4" s="59" t="str">
        <f t="shared" si="6"/>
        <v>Tue</v>
      </c>
      <c r="FV4" s="59" t="str">
        <f t="shared" si="6"/>
        <v>Wed</v>
      </c>
      <c r="FW4" s="59" t="str">
        <f t="shared" si="6"/>
        <v>Thu</v>
      </c>
      <c r="FX4" s="59" t="str">
        <f t="shared" si="6"/>
        <v>Fri</v>
      </c>
      <c r="FY4" s="59" t="str">
        <f t="shared" si="6"/>
        <v>Sat</v>
      </c>
      <c r="FZ4" s="59" t="str">
        <f t="shared" si="6"/>
        <v>Sun</v>
      </c>
      <c r="GA4" s="59" t="str">
        <f t="shared" si="6"/>
        <v>Mon</v>
      </c>
      <c r="GB4" s="59" t="str">
        <f t="shared" si="6"/>
        <v>Tue</v>
      </c>
      <c r="GC4" s="59" t="str">
        <f t="shared" si="6"/>
        <v>Wed</v>
      </c>
      <c r="GD4" s="59" t="str">
        <f t="shared" si="6"/>
        <v>Thu</v>
      </c>
      <c r="GE4" s="59" t="str">
        <f t="shared" si="6"/>
        <v>Fri</v>
      </c>
      <c r="GF4" s="59" t="str">
        <f t="shared" si="6"/>
        <v>Sat</v>
      </c>
      <c r="GG4" s="59" t="str">
        <f t="shared" si="6"/>
        <v>Sun</v>
      </c>
      <c r="GH4" s="59" t="str">
        <f t="shared" si="6"/>
        <v>Mon</v>
      </c>
      <c r="GI4" s="59" t="str">
        <f t="shared" si="6"/>
        <v>Tue</v>
      </c>
      <c r="GJ4" s="59" t="str">
        <f t="shared" si="6"/>
        <v>Wed</v>
      </c>
      <c r="GK4" s="59" t="str">
        <f t="shared" si="6"/>
        <v>Thu</v>
      </c>
      <c r="GL4" s="59" t="str">
        <f t="shared" si="6"/>
        <v>Fri</v>
      </c>
      <c r="GM4" s="59" t="str">
        <f t="shared" si="6"/>
        <v>Sat</v>
      </c>
      <c r="GN4" s="59" t="str">
        <f t="shared" si="6"/>
        <v>Sun</v>
      </c>
      <c r="GO4" s="59" t="str">
        <f t="shared" si="6"/>
        <v>Mon</v>
      </c>
      <c r="GP4" s="59" t="str">
        <f t="shared" si="6"/>
        <v>Tue</v>
      </c>
      <c r="GQ4" s="59" t="str">
        <f t="shared" si="6"/>
        <v>Wed</v>
      </c>
      <c r="GR4" s="59" t="str">
        <f t="shared" si="6"/>
        <v>Thu</v>
      </c>
      <c r="GS4" s="59" t="str">
        <f t="shared" si="6"/>
        <v>Fri</v>
      </c>
      <c r="GT4" s="59" t="str">
        <f t="shared" si="6"/>
        <v>Sat</v>
      </c>
      <c r="GU4" s="59" t="str">
        <f t="shared" si="6"/>
        <v>Sun</v>
      </c>
      <c r="GV4" s="59" t="str">
        <f t="shared" si="6"/>
        <v>Mon</v>
      </c>
      <c r="GW4" s="59" t="str">
        <f t="shared" si="6"/>
        <v>Tue</v>
      </c>
      <c r="GX4" s="59" t="str">
        <f t="shared" si="6"/>
        <v>Wed</v>
      </c>
      <c r="GY4" s="59" t="str">
        <f t="shared" si="6"/>
        <v>Thu</v>
      </c>
      <c r="GZ4" s="59" t="str">
        <f t="shared" si="6"/>
        <v>Fri</v>
      </c>
      <c r="HA4" s="59" t="str">
        <f t="shared" si="6"/>
        <v>Sat</v>
      </c>
      <c r="HB4" s="59" t="str">
        <f t="shared" si="6"/>
        <v>Sun</v>
      </c>
      <c r="HC4" s="59" t="str">
        <f t="shared" si="6"/>
        <v>Mon</v>
      </c>
      <c r="HD4" s="59" t="str">
        <f t="shared" si="6"/>
        <v>Tue</v>
      </c>
      <c r="HE4" s="59" t="str">
        <f t="shared" si="6"/>
        <v>Wed</v>
      </c>
      <c r="HF4" s="59" t="str">
        <f t="shared" si="6"/>
        <v>Thu</v>
      </c>
      <c r="HG4" s="59" t="str">
        <f t="shared" si="6"/>
        <v>Fri</v>
      </c>
      <c r="HH4" s="59" t="str">
        <f t="shared" si="6"/>
        <v>Sat</v>
      </c>
      <c r="HI4" s="59" t="str">
        <f t="shared" si="6"/>
        <v>Sun</v>
      </c>
      <c r="HJ4" s="59" t="str">
        <f t="shared" si="6"/>
        <v>Mon</v>
      </c>
      <c r="HK4" s="59" t="str">
        <f t="shared" si="6"/>
        <v>Tue</v>
      </c>
      <c r="HL4" s="59" t="str">
        <f t="shared" si="6"/>
        <v>Wed</v>
      </c>
      <c r="HM4" s="59" t="str">
        <f t="shared" ref="HM4:JE4" si="7">TEXT(HM3,"ddd")</f>
        <v>Thu</v>
      </c>
      <c r="HN4" s="59" t="str">
        <f t="shared" si="7"/>
        <v>Fri</v>
      </c>
      <c r="HO4" s="59" t="str">
        <f t="shared" si="7"/>
        <v>Sat</v>
      </c>
      <c r="HP4" s="59" t="str">
        <f t="shared" si="7"/>
        <v>Sun</v>
      </c>
      <c r="HQ4" s="59" t="str">
        <f t="shared" si="7"/>
        <v>Mon</v>
      </c>
      <c r="HR4" s="59" t="str">
        <f t="shared" si="7"/>
        <v>Tue</v>
      </c>
      <c r="HS4" s="59" t="str">
        <f t="shared" si="7"/>
        <v>Wed</v>
      </c>
      <c r="HT4" s="59" t="str">
        <f t="shared" si="7"/>
        <v>Thu</v>
      </c>
      <c r="HU4" s="59" t="str">
        <f t="shared" si="7"/>
        <v>Fri</v>
      </c>
      <c r="HV4" s="59" t="str">
        <f t="shared" si="7"/>
        <v>Sat</v>
      </c>
      <c r="HW4" s="59" t="str">
        <f t="shared" si="7"/>
        <v>Sun</v>
      </c>
      <c r="HX4" s="59" t="str">
        <f t="shared" si="7"/>
        <v>Mon</v>
      </c>
      <c r="HY4" s="59" t="str">
        <f t="shared" si="7"/>
        <v>Tue</v>
      </c>
      <c r="HZ4" s="59" t="str">
        <f t="shared" si="7"/>
        <v>Wed</v>
      </c>
      <c r="IA4" s="59" t="str">
        <f t="shared" si="7"/>
        <v>Thu</v>
      </c>
      <c r="IB4" s="59" t="str">
        <f t="shared" si="7"/>
        <v>Fri</v>
      </c>
      <c r="IC4" s="59" t="str">
        <f t="shared" si="7"/>
        <v>Sat</v>
      </c>
      <c r="ID4" s="59" t="str">
        <f t="shared" si="7"/>
        <v>Sun</v>
      </c>
      <c r="IE4" s="59" t="str">
        <f t="shared" si="7"/>
        <v>Mon</v>
      </c>
      <c r="IF4" s="59" t="str">
        <f t="shared" si="7"/>
        <v>Tue</v>
      </c>
      <c r="IG4" s="59" t="str">
        <f t="shared" si="7"/>
        <v>Wed</v>
      </c>
      <c r="IH4" s="59" t="str">
        <f t="shared" si="7"/>
        <v>Thu</v>
      </c>
      <c r="II4" s="59" t="str">
        <f t="shared" si="7"/>
        <v>Fri</v>
      </c>
      <c r="IJ4" s="59" t="str">
        <f t="shared" si="7"/>
        <v>Sat</v>
      </c>
      <c r="IK4" s="59" t="str">
        <f t="shared" si="7"/>
        <v>Sun</v>
      </c>
      <c r="IL4" s="59" t="str">
        <f t="shared" si="7"/>
        <v>Mon</v>
      </c>
      <c r="IM4" s="59" t="str">
        <f t="shared" si="7"/>
        <v>Tue</v>
      </c>
      <c r="IN4" s="59" t="str">
        <f t="shared" si="7"/>
        <v>Wed</v>
      </c>
      <c r="IO4" s="59" t="str">
        <f t="shared" si="7"/>
        <v>Thu</v>
      </c>
      <c r="IP4" s="59" t="str">
        <f t="shared" si="7"/>
        <v>Fri</v>
      </c>
      <c r="IQ4" s="59" t="str">
        <f t="shared" si="7"/>
        <v>Sat</v>
      </c>
      <c r="IR4" s="59" t="str">
        <f t="shared" si="7"/>
        <v>Sun</v>
      </c>
      <c r="IS4" s="59" t="str">
        <f t="shared" si="7"/>
        <v>Mon</v>
      </c>
      <c r="IT4" s="59" t="str">
        <f t="shared" si="7"/>
        <v>Tue</v>
      </c>
      <c r="IU4" s="59" t="str">
        <f t="shared" si="7"/>
        <v>Wed</v>
      </c>
      <c r="IV4" s="59" t="str">
        <f t="shared" si="7"/>
        <v>Thu</v>
      </c>
      <c r="IW4" s="59" t="str">
        <f t="shared" si="7"/>
        <v>Fri</v>
      </c>
      <c r="IX4" s="59" t="str">
        <f t="shared" si="7"/>
        <v>Sat</v>
      </c>
      <c r="IY4" s="59" t="str">
        <f t="shared" si="7"/>
        <v>Sun</v>
      </c>
      <c r="IZ4" s="59" t="str">
        <f t="shared" si="7"/>
        <v>Mon</v>
      </c>
      <c r="JA4" s="59" t="str">
        <f t="shared" si="7"/>
        <v>Tue</v>
      </c>
      <c r="JB4" s="59" t="str">
        <f t="shared" si="7"/>
        <v>Wed</v>
      </c>
      <c r="JC4" s="59" t="str">
        <f t="shared" si="7"/>
        <v>Thu</v>
      </c>
      <c r="JD4" s="59" t="str">
        <f t="shared" si="7"/>
        <v>Fri</v>
      </c>
      <c r="JE4" s="59" t="str">
        <f t="shared" si="7"/>
        <v>Sat</v>
      </c>
      <c r="JG4" s="68" t="s">
        <v>24</v>
      </c>
      <c r="JH4" s="68" t="s">
        <v>25</v>
      </c>
    </row>
    <row r="5" spans="1:268" s="31" customFormat="1" x14ac:dyDescent="0.4">
      <c r="A5" s="32"/>
      <c r="B5" s="32"/>
      <c r="C5" s="32"/>
      <c r="D5" s="32"/>
      <c r="E5" s="38"/>
      <c r="F5" s="61"/>
      <c r="G5" s="33"/>
      <c r="H5" s="33"/>
      <c r="I5" s="27" t="str">
        <f>IF(ISBLANK(G5),"","○")</f>
        <v/>
      </c>
      <c r="J5" s="33"/>
      <c r="K5" s="28">
        <f t="shared" ref="K5:K68" si="8">IF($Z5&lt;&gt;"",IF($W5&gt;=$Z5,$W5-$Z5,$X5)*$Y5,0)</f>
        <v>0</v>
      </c>
      <c r="L5" s="28">
        <f>IF(AND($Y5&lt;&gt;"",$X5&lt;&gt;""),MAX(0,ROUND(($X5*$Y5),0)-NETWORKDAYS.INTL($V5,基準日,1)),0)</f>
        <v>0</v>
      </c>
      <c r="M5" s="28">
        <f t="shared" ref="M5:M68" ca="1" si="9">IF(AND(IFERROR(VALUE($X5),0),$Z5="",$V5&lt;基準日),基準日-$V5,0)</f>
        <v>0</v>
      </c>
      <c r="N5" s="28">
        <f ca="1">MAX(L5:M5)</f>
        <v>0</v>
      </c>
      <c r="O5" s="34"/>
      <c r="P5" s="34"/>
      <c r="Q5" s="71" t="str" cm="1">
        <f t="array" ref="Q5">IF(SUMPRODUCT(--(B5:E5&lt;&gt;""))&gt;0,"○","")</f>
        <v/>
      </c>
      <c r="R5" s="35"/>
      <c r="S5" s="35"/>
      <c r="T5" s="35"/>
      <c r="U5" s="66"/>
      <c r="V5" s="29" t="str">
        <f>IF(NOT(ISBLANK(S5)),S5,IF(AND(NOT(ISBLANK(T5)),NOT(ISBLANK(U5))),IF(NOT(JH5),T5-U5+1,WORKDAY.INTL(T5,-U5+1,1)),""))</f>
        <v/>
      </c>
      <c r="W5" s="29" t="str">
        <f>IF(NOT(ISBLANK(T5)),T5,IF(AND(NOT(ISBLANK(S5)),NOT(ISBLANK(U5))),IF(NOT(JG5),S5+U5-1,WORKDAY.INTL(S5,U5-1,1)),""))</f>
        <v/>
      </c>
      <c r="X5" s="30" t="str">
        <f>IF(NOT(ISBLANK(U5)),U5,IF(AND(NOT(ISBLANK(S5)),NOT(ISBLANK(T5))),IF(S5&lt;=T5,IF(OR(NOT(JG5),NOT(JH5)),T5-S5+1,NETWORKDAYS.INTL(S5,T5,1)),0),""))</f>
        <v/>
      </c>
      <c r="Y5" s="36"/>
      <c r="Z5" s="37"/>
      <c r="AA5" s="37"/>
      <c r="JG5" s="31" t="str">
        <f>IF(ISBLANK(S5),"",IF(OR(WEEKDAY(S5,2)=6,WEEKDAY(S5,2)=7),FALSE,TRUE))</f>
        <v/>
      </c>
      <c r="JH5" s="31" t="str">
        <f>IF(ISBLANK(T5),"",IF(OR(WEEKDAY(T5,2)=6,WEEKDAY(T5,2)=7),FALSE,TRUE))</f>
        <v/>
      </c>
    </row>
    <row r="6" spans="1:268" s="31" customFormat="1" x14ac:dyDescent="0.4">
      <c r="A6" s="32"/>
      <c r="B6" s="32"/>
      <c r="C6" s="32"/>
      <c r="D6" s="32"/>
      <c r="E6" s="38"/>
      <c r="F6" s="61"/>
      <c r="G6" s="33"/>
      <c r="H6" s="33"/>
      <c r="I6" s="27" t="str">
        <f t="shared" ref="I6:I69" si="10">IF(ISBLANK(G6),"","○")</f>
        <v/>
      </c>
      <c r="J6" s="33"/>
      <c r="K6" s="28">
        <f t="shared" si="8"/>
        <v>0</v>
      </c>
      <c r="L6" s="28">
        <f>IF(AND($Y6&lt;&gt;"",$X6&lt;&gt;""),MAX(0,ROUND(($X6*$Y6),0)-NETWORKDAYS.INTL($V6,基準日,1)),0)</f>
        <v>0</v>
      </c>
      <c r="M6" s="28">
        <f t="shared" ca="1" si="9"/>
        <v>0</v>
      </c>
      <c r="N6" s="28">
        <f t="shared" ref="N6:N69" ca="1" si="11">MAX(L6:M6)</f>
        <v>0</v>
      </c>
      <c r="O6" s="34"/>
      <c r="P6" s="34"/>
      <c r="Q6" s="71" t="str" cm="1">
        <f t="array" ref="Q6">IF(SUMPRODUCT(--(B6:E6&lt;&gt;""))&gt;0,"○","")</f>
        <v/>
      </c>
      <c r="R6" s="35"/>
      <c r="S6" s="35"/>
      <c r="T6" s="35"/>
      <c r="U6" s="66"/>
      <c r="V6" s="29" t="str">
        <f t="shared" ref="V6:V69" si="12">IF(NOT(ISBLANK(S6)),S6,IF(AND(NOT(ISBLANK(T6)),NOT(ISBLANK(U6))),IF(NOT(JH6),T6-U6+1,WORKDAY.INTL(T6,-U6+1,1)),""))</f>
        <v/>
      </c>
      <c r="W6" s="29" t="str">
        <f t="shared" ref="W6:W69" si="13">IF(NOT(ISBLANK(T6)),T6,IF(AND(NOT(ISBLANK(S6)),NOT(ISBLANK(U6))),IF(NOT(JG6),S6+U6-1,WORKDAY.INTL(S6,U6-1,1)),""))</f>
        <v/>
      </c>
      <c r="X6" s="30" t="str">
        <f t="shared" ref="X6:X69" si="14">IF(NOT(ISBLANK(U6)),U6,IF(AND(NOT(ISBLANK(S6)),NOT(ISBLANK(T6))),IF(S6&lt;=T6,IF(OR(NOT(JG6),NOT(JH6)),T6-S6+1,NETWORKDAYS.INTL(S6,T6,1)),0),""))</f>
        <v/>
      </c>
      <c r="Y6" s="36"/>
      <c r="Z6" s="37"/>
      <c r="AA6" s="37"/>
      <c r="JG6" s="31" t="str">
        <f t="shared" ref="JG6:JG69" si="15">IF(ISBLANK(S6),"",IF(OR(WEEKDAY(S6,2)=6,WEEKDAY(S6,2)=7),FALSE,TRUE))</f>
        <v/>
      </c>
      <c r="JH6" s="31" t="str">
        <f t="shared" ref="JH6:JH69" si="16">IF(ISBLANK(T6),"",IF(OR(WEEKDAY(T6,2)=6,WEEKDAY(T6,2)=7),FALSE,TRUE))</f>
        <v/>
      </c>
    </row>
    <row r="7" spans="1:268" s="31" customFormat="1" x14ac:dyDescent="0.4">
      <c r="A7" s="32"/>
      <c r="B7" s="32"/>
      <c r="C7" s="32"/>
      <c r="D7" s="32"/>
      <c r="E7" s="38"/>
      <c r="F7" s="61"/>
      <c r="G7" s="33"/>
      <c r="H7" s="33"/>
      <c r="I7" s="27" t="str">
        <f t="shared" si="10"/>
        <v/>
      </c>
      <c r="J7" s="33"/>
      <c r="K7" s="28">
        <f t="shared" si="8"/>
        <v>0</v>
      </c>
      <c r="L7" s="28">
        <f>IF(AND($Y7&lt;&gt;"",$X7&lt;&gt;""),MAX(0,ROUND(($X7*$Y7),0)-NETWORKDAYS.INTL($V7,基準日,1)),0)</f>
        <v>0</v>
      </c>
      <c r="M7" s="28">
        <f t="shared" ca="1" si="9"/>
        <v>0</v>
      </c>
      <c r="N7" s="28">
        <f t="shared" ca="1" si="11"/>
        <v>0</v>
      </c>
      <c r="O7" s="34"/>
      <c r="P7" s="34"/>
      <c r="Q7" s="71" t="str" cm="1">
        <f t="array" ref="Q7">IF(SUMPRODUCT(--(B7:E7&lt;&gt;""))&gt;0,"○","")</f>
        <v/>
      </c>
      <c r="R7" s="35"/>
      <c r="S7" s="35"/>
      <c r="T7" s="35"/>
      <c r="U7" s="66"/>
      <c r="V7" s="29" t="str">
        <f t="shared" si="12"/>
        <v/>
      </c>
      <c r="W7" s="29" t="str">
        <f t="shared" si="13"/>
        <v/>
      </c>
      <c r="X7" s="30" t="str">
        <f t="shared" si="14"/>
        <v/>
      </c>
      <c r="Y7" s="36"/>
      <c r="Z7" s="37"/>
      <c r="AA7" s="37"/>
      <c r="JG7" s="31" t="str">
        <f t="shared" si="15"/>
        <v/>
      </c>
      <c r="JH7" s="31" t="str">
        <f t="shared" si="16"/>
        <v/>
      </c>
    </row>
    <row r="8" spans="1:268" s="31" customFormat="1" x14ac:dyDescent="0.4">
      <c r="A8" s="32"/>
      <c r="B8" s="32"/>
      <c r="C8" s="32"/>
      <c r="D8" s="32"/>
      <c r="E8" s="38"/>
      <c r="F8" s="61"/>
      <c r="G8" s="33"/>
      <c r="H8" s="33"/>
      <c r="I8" s="27" t="str">
        <f t="shared" si="10"/>
        <v/>
      </c>
      <c r="J8" s="33"/>
      <c r="K8" s="28">
        <f t="shared" si="8"/>
        <v>0</v>
      </c>
      <c r="L8" s="28">
        <f>IF(AND($Y8&lt;&gt;"",$X8&lt;&gt;""),MAX(0,ROUND(($X8*$Y8),0)-NETWORKDAYS.INTL($V8,基準日,1)),0)</f>
        <v>0</v>
      </c>
      <c r="M8" s="28">
        <f t="shared" ca="1" si="9"/>
        <v>0</v>
      </c>
      <c r="N8" s="28">
        <f t="shared" ca="1" si="11"/>
        <v>0</v>
      </c>
      <c r="O8" s="34"/>
      <c r="P8" s="34"/>
      <c r="Q8" s="71" t="str" cm="1">
        <f t="array" ref="Q8">IF(SUMPRODUCT(--(B8:E8&lt;&gt;""))&gt;0,"○","")</f>
        <v/>
      </c>
      <c r="R8" s="35"/>
      <c r="S8" s="35"/>
      <c r="T8" s="35"/>
      <c r="U8" s="66"/>
      <c r="V8" s="29" t="str">
        <f t="shared" si="12"/>
        <v/>
      </c>
      <c r="W8" s="29" t="str">
        <f t="shared" si="13"/>
        <v/>
      </c>
      <c r="X8" s="30" t="str">
        <f t="shared" si="14"/>
        <v/>
      </c>
      <c r="Y8" s="36"/>
      <c r="Z8" s="37"/>
      <c r="AA8" s="37"/>
      <c r="JG8" s="31" t="str">
        <f t="shared" si="15"/>
        <v/>
      </c>
      <c r="JH8" s="31" t="str">
        <f t="shared" si="16"/>
        <v/>
      </c>
    </row>
    <row r="9" spans="1:268" s="31" customFormat="1" x14ac:dyDescent="0.4">
      <c r="A9" s="32"/>
      <c r="B9" s="32"/>
      <c r="C9" s="32"/>
      <c r="D9" s="32"/>
      <c r="E9" s="38"/>
      <c r="F9" s="61"/>
      <c r="G9" s="61"/>
      <c r="H9" s="33"/>
      <c r="I9" s="27" t="str">
        <f t="shared" si="10"/>
        <v/>
      </c>
      <c r="J9" s="33"/>
      <c r="K9" s="28">
        <f t="shared" si="8"/>
        <v>0</v>
      </c>
      <c r="L9" s="28">
        <f>IF(AND($Y9&lt;&gt;"",$X9&lt;&gt;""),MAX(0,ROUND(($X9*$Y9),0)-NETWORKDAYS.INTL($V9,基準日,1)),0)</f>
        <v>0</v>
      </c>
      <c r="M9" s="28">
        <f t="shared" ca="1" si="9"/>
        <v>0</v>
      </c>
      <c r="N9" s="28">
        <f t="shared" ca="1" si="11"/>
        <v>0</v>
      </c>
      <c r="O9" s="34"/>
      <c r="P9" s="34"/>
      <c r="Q9" s="71" t="str" cm="1">
        <f t="array" ref="Q9">IF(SUMPRODUCT(--(B9:E9&lt;&gt;""))&gt;0,"○","")</f>
        <v/>
      </c>
      <c r="R9" s="35"/>
      <c r="S9" s="35"/>
      <c r="T9" s="35"/>
      <c r="U9" s="66"/>
      <c r="V9" s="29" t="str">
        <f t="shared" si="12"/>
        <v/>
      </c>
      <c r="W9" s="29" t="str">
        <f t="shared" si="13"/>
        <v/>
      </c>
      <c r="X9" s="30" t="str">
        <f t="shared" si="14"/>
        <v/>
      </c>
      <c r="Y9" s="36"/>
      <c r="Z9" s="37"/>
      <c r="AA9" s="37"/>
      <c r="JG9" s="31" t="str">
        <f t="shared" si="15"/>
        <v/>
      </c>
      <c r="JH9" s="31" t="str">
        <f t="shared" si="16"/>
        <v/>
      </c>
    </row>
    <row r="10" spans="1:268" s="31" customFormat="1" x14ac:dyDescent="0.4">
      <c r="A10" s="32"/>
      <c r="B10" s="32"/>
      <c r="C10" s="32"/>
      <c r="D10" s="32"/>
      <c r="E10" s="38"/>
      <c r="F10" s="61"/>
      <c r="G10" s="33"/>
      <c r="H10" s="33"/>
      <c r="I10" s="27" t="str">
        <f t="shared" si="10"/>
        <v/>
      </c>
      <c r="J10" s="33"/>
      <c r="K10" s="28">
        <f t="shared" si="8"/>
        <v>0</v>
      </c>
      <c r="L10" s="28">
        <f>IF(AND($Y10&lt;&gt;"",$X10&lt;&gt;""),MAX(0,ROUND(($X10*$Y10),0)-NETWORKDAYS.INTL($V10,基準日,1)),0)</f>
        <v>0</v>
      </c>
      <c r="M10" s="28">
        <f t="shared" ca="1" si="9"/>
        <v>0</v>
      </c>
      <c r="N10" s="28">
        <f t="shared" ca="1" si="11"/>
        <v>0</v>
      </c>
      <c r="O10" s="34"/>
      <c r="P10" s="34"/>
      <c r="Q10" s="71" t="str" cm="1">
        <f t="array" ref="Q10">IF(SUMPRODUCT(--(B10:E10&lt;&gt;""))&gt;0,"○","")</f>
        <v/>
      </c>
      <c r="R10" s="35"/>
      <c r="S10" s="35"/>
      <c r="T10" s="35"/>
      <c r="U10" s="66"/>
      <c r="V10" s="29" t="str">
        <f t="shared" si="12"/>
        <v/>
      </c>
      <c r="W10" s="29" t="str">
        <f t="shared" si="13"/>
        <v/>
      </c>
      <c r="X10" s="30" t="str">
        <f t="shared" si="14"/>
        <v/>
      </c>
      <c r="Y10" s="36"/>
      <c r="Z10" s="37"/>
      <c r="AA10" s="37"/>
      <c r="JG10" s="31" t="str">
        <f t="shared" si="15"/>
        <v/>
      </c>
      <c r="JH10" s="31" t="str">
        <f t="shared" si="16"/>
        <v/>
      </c>
    </row>
    <row r="11" spans="1:268" s="31" customFormat="1" x14ac:dyDescent="0.4">
      <c r="A11" s="32"/>
      <c r="B11" s="32"/>
      <c r="C11" s="32"/>
      <c r="D11" s="32"/>
      <c r="E11" s="38"/>
      <c r="F11" s="61"/>
      <c r="G11" s="33"/>
      <c r="H11" s="33"/>
      <c r="I11" s="27" t="str">
        <f t="shared" si="10"/>
        <v/>
      </c>
      <c r="J11" s="33"/>
      <c r="K11" s="28">
        <f t="shared" si="8"/>
        <v>0</v>
      </c>
      <c r="L11" s="28">
        <f>IF(AND($Y11&lt;&gt;"",$X11&lt;&gt;""),MAX(0,ROUND(($X11*$Y11),0)-NETWORKDAYS.INTL($V11,基準日,1)),0)</f>
        <v>0</v>
      </c>
      <c r="M11" s="28">
        <f t="shared" ca="1" si="9"/>
        <v>0</v>
      </c>
      <c r="N11" s="28">
        <f t="shared" ca="1" si="11"/>
        <v>0</v>
      </c>
      <c r="O11" s="34"/>
      <c r="P11" s="34"/>
      <c r="Q11" s="71" t="str" cm="1">
        <f t="array" ref="Q11">IF(SUMPRODUCT(--(B11:E11&lt;&gt;""))&gt;0,"○","")</f>
        <v/>
      </c>
      <c r="R11" s="35"/>
      <c r="S11" s="35"/>
      <c r="T11" s="35"/>
      <c r="U11" s="66"/>
      <c r="V11" s="29" t="str">
        <f t="shared" si="12"/>
        <v/>
      </c>
      <c r="W11" s="29" t="str">
        <f t="shared" si="13"/>
        <v/>
      </c>
      <c r="X11" s="30" t="str">
        <f t="shared" si="14"/>
        <v/>
      </c>
      <c r="Y11" s="36"/>
      <c r="Z11" s="37"/>
      <c r="AA11" s="37"/>
      <c r="JG11" s="31" t="str">
        <f t="shared" si="15"/>
        <v/>
      </c>
      <c r="JH11" s="31" t="str">
        <f t="shared" si="16"/>
        <v/>
      </c>
    </row>
    <row r="12" spans="1:268" s="31" customFormat="1" x14ac:dyDescent="0.4">
      <c r="A12" s="32"/>
      <c r="B12" s="32"/>
      <c r="C12" s="32"/>
      <c r="D12" s="32"/>
      <c r="E12" s="38"/>
      <c r="F12" s="61"/>
      <c r="G12" s="33"/>
      <c r="H12" s="33"/>
      <c r="I12" s="27" t="str">
        <f t="shared" si="10"/>
        <v/>
      </c>
      <c r="J12" s="33"/>
      <c r="K12" s="28">
        <f t="shared" si="8"/>
        <v>0</v>
      </c>
      <c r="L12" s="28">
        <f>IF(AND($Y12&lt;&gt;"",$X12&lt;&gt;""),MAX(0,ROUND(($X12*$Y12),0)-NETWORKDAYS.INTL($V12,基準日,1)),0)</f>
        <v>0</v>
      </c>
      <c r="M12" s="28">
        <f t="shared" ca="1" si="9"/>
        <v>0</v>
      </c>
      <c r="N12" s="28">
        <f t="shared" ca="1" si="11"/>
        <v>0</v>
      </c>
      <c r="O12" s="34"/>
      <c r="P12" s="34"/>
      <c r="Q12" s="71" t="str" cm="1">
        <f t="array" ref="Q12">IF(SUMPRODUCT(--(B12:E12&lt;&gt;""))&gt;0,"○","")</f>
        <v/>
      </c>
      <c r="R12" s="35"/>
      <c r="S12" s="35"/>
      <c r="T12" s="35"/>
      <c r="U12" s="66"/>
      <c r="V12" s="29" t="str">
        <f t="shared" si="12"/>
        <v/>
      </c>
      <c r="W12" s="29" t="str">
        <f t="shared" si="13"/>
        <v/>
      </c>
      <c r="X12" s="30" t="str">
        <f t="shared" si="14"/>
        <v/>
      </c>
      <c r="Y12" s="36"/>
      <c r="Z12" s="37"/>
      <c r="AA12" s="37"/>
      <c r="JG12" s="31" t="str">
        <f t="shared" si="15"/>
        <v/>
      </c>
      <c r="JH12" s="31" t="str">
        <f t="shared" si="16"/>
        <v/>
      </c>
    </row>
    <row r="13" spans="1:268" s="31" customFormat="1" x14ac:dyDescent="0.4">
      <c r="A13" s="32"/>
      <c r="B13" s="32"/>
      <c r="C13" s="32"/>
      <c r="D13" s="32"/>
      <c r="E13" s="38"/>
      <c r="F13" s="61"/>
      <c r="G13" s="33"/>
      <c r="H13" s="33"/>
      <c r="I13" s="27" t="str">
        <f t="shared" si="10"/>
        <v/>
      </c>
      <c r="J13" s="33"/>
      <c r="K13" s="28">
        <f t="shared" si="8"/>
        <v>0</v>
      </c>
      <c r="L13" s="28">
        <f>IF(AND($Y13&lt;&gt;"",$X13&lt;&gt;""),MAX(0,ROUND(($X13*$Y13),0)-NETWORKDAYS.INTL($V13,基準日,1)),0)</f>
        <v>0</v>
      </c>
      <c r="M13" s="28">
        <f t="shared" ca="1" si="9"/>
        <v>0</v>
      </c>
      <c r="N13" s="28">
        <f t="shared" ca="1" si="11"/>
        <v>0</v>
      </c>
      <c r="O13" s="34"/>
      <c r="P13" s="34"/>
      <c r="Q13" s="71" t="str" cm="1">
        <f t="array" ref="Q13">IF(SUMPRODUCT(--(B13:E13&lt;&gt;""))&gt;0,"○","")</f>
        <v/>
      </c>
      <c r="R13" s="35"/>
      <c r="S13" s="35"/>
      <c r="T13" s="35"/>
      <c r="U13" s="66"/>
      <c r="V13" s="29" t="str">
        <f t="shared" si="12"/>
        <v/>
      </c>
      <c r="W13" s="29" t="str">
        <f t="shared" si="13"/>
        <v/>
      </c>
      <c r="X13" s="30" t="str">
        <f t="shared" si="14"/>
        <v/>
      </c>
      <c r="Y13" s="36"/>
      <c r="Z13" s="37"/>
      <c r="AA13" s="37"/>
      <c r="JG13" s="31" t="str">
        <f t="shared" si="15"/>
        <v/>
      </c>
      <c r="JH13" s="31" t="str">
        <f t="shared" si="16"/>
        <v/>
      </c>
    </row>
    <row r="14" spans="1:268" s="31" customFormat="1" x14ac:dyDescent="0.4">
      <c r="A14" s="32"/>
      <c r="B14" s="32"/>
      <c r="C14" s="32"/>
      <c r="D14" s="32"/>
      <c r="E14" s="38"/>
      <c r="F14" s="61"/>
      <c r="G14" s="33"/>
      <c r="H14" s="33"/>
      <c r="I14" s="27" t="str">
        <f t="shared" si="10"/>
        <v/>
      </c>
      <c r="J14" s="33"/>
      <c r="K14" s="28">
        <f t="shared" si="8"/>
        <v>0</v>
      </c>
      <c r="L14" s="28">
        <f>IF(AND($Y14&lt;&gt;"",$X14&lt;&gt;""),MAX(0,ROUND(($X14*$Y14),0)-NETWORKDAYS.INTL($V14,基準日,1)),0)</f>
        <v>0</v>
      </c>
      <c r="M14" s="28">
        <f t="shared" ca="1" si="9"/>
        <v>0</v>
      </c>
      <c r="N14" s="28">
        <f t="shared" ca="1" si="11"/>
        <v>0</v>
      </c>
      <c r="O14" s="34"/>
      <c r="P14" s="34"/>
      <c r="Q14" s="71" t="str" cm="1">
        <f t="array" ref="Q14">IF(SUMPRODUCT(--(B14:E14&lt;&gt;""))&gt;0,"○","")</f>
        <v/>
      </c>
      <c r="R14" s="35"/>
      <c r="S14" s="35"/>
      <c r="T14" s="35"/>
      <c r="U14" s="66"/>
      <c r="V14" s="29" t="str">
        <f t="shared" si="12"/>
        <v/>
      </c>
      <c r="W14" s="29" t="str">
        <f t="shared" si="13"/>
        <v/>
      </c>
      <c r="X14" s="30" t="str">
        <f t="shared" si="14"/>
        <v/>
      </c>
      <c r="Y14" s="36"/>
      <c r="Z14" s="37"/>
      <c r="AA14" s="37"/>
      <c r="JG14" s="31" t="str">
        <f t="shared" si="15"/>
        <v/>
      </c>
      <c r="JH14" s="31" t="str">
        <f t="shared" si="16"/>
        <v/>
      </c>
    </row>
    <row r="15" spans="1:268" s="31" customFormat="1" x14ac:dyDescent="0.4">
      <c r="A15" s="32"/>
      <c r="B15" s="32"/>
      <c r="C15" s="32"/>
      <c r="D15" s="32"/>
      <c r="E15" s="38"/>
      <c r="F15" s="61"/>
      <c r="G15" s="61"/>
      <c r="H15" s="33"/>
      <c r="I15" s="27" t="str">
        <f t="shared" si="10"/>
        <v/>
      </c>
      <c r="J15" s="33"/>
      <c r="K15" s="28">
        <f t="shared" si="8"/>
        <v>0</v>
      </c>
      <c r="L15" s="28">
        <f>IF(AND($Y15&lt;&gt;"",$X15&lt;&gt;""),MAX(0,ROUND(($X15*$Y15),0)-NETWORKDAYS.INTL($V15,基準日,1)),0)</f>
        <v>0</v>
      </c>
      <c r="M15" s="28">
        <f t="shared" ca="1" si="9"/>
        <v>0</v>
      </c>
      <c r="N15" s="28">
        <f t="shared" ca="1" si="11"/>
        <v>0</v>
      </c>
      <c r="O15" s="34"/>
      <c r="P15" s="34"/>
      <c r="Q15" s="71" t="str" cm="1">
        <f t="array" ref="Q15">IF(SUMPRODUCT(--(B15:E15&lt;&gt;""))&gt;0,"○","")</f>
        <v/>
      </c>
      <c r="R15" s="35"/>
      <c r="S15" s="35"/>
      <c r="T15" s="35"/>
      <c r="U15" s="66"/>
      <c r="V15" s="29" t="str">
        <f t="shared" si="12"/>
        <v/>
      </c>
      <c r="W15" s="29" t="str">
        <f t="shared" si="13"/>
        <v/>
      </c>
      <c r="X15" s="30" t="str">
        <f t="shared" si="14"/>
        <v/>
      </c>
      <c r="Y15" s="36"/>
      <c r="Z15" s="37"/>
      <c r="AA15" s="37"/>
      <c r="JG15" s="31" t="str">
        <f t="shared" si="15"/>
        <v/>
      </c>
      <c r="JH15" s="31" t="str">
        <f t="shared" si="16"/>
        <v/>
      </c>
    </row>
    <row r="16" spans="1:268" s="31" customFormat="1" x14ac:dyDescent="0.4">
      <c r="A16" s="32"/>
      <c r="B16" s="32"/>
      <c r="C16" s="32"/>
      <c r="D16" s="32"/>
      <c r="E16" s="38"/>
      <c r="F16" s="61"/>
      <c r="G16" s="61"/>
      <c r="H16" s="33"/>
      <c r="I16" s="27" t="str">
        <f t="shared" si="10"/>
        <v/>
      </c>
      <c r="J16" s="33"/>
      <c r="K16" s="28">
        <f t="shared" si="8"/>
        <v>0</v>
      </c>
      <c r="L16" s="28">
        <f>IF(AND($Y16&lt;&gt;"",$X16&lt;&gt;""),MAX(0,ROUND(($X16*$Y16),0)-NETWORKDAYS.INTL($V16,基準日,1)),0)</f>
        <v>0</v>
      </c>
      <c r="M16" s="28">
        <f t="shared" ca="1" si="9"/>
        <v>0</v>
      </c>
      <c r="N16" s="28">
        <f t="shared" ca="1" si="11"/>
        <v>0</v>
      </c>
      <c r="O16" s="34"/>
      <c r="P16" s="34"/>
      <c r="Q16" s="71" t="str" cm="1">
        <f t="array" ref="Q16">IF(SUMPRODUCT(--(B16:E16&lt;&gt;""))&gt;0,"○","")</f>
        <v/>
      </c>
      <c r="R16" s="35"/>
      <c r="S16" s="35"/>
      <c r="T16" s="35"/>
      <c r="U16" s="66"/>
      <c r="V16" s="29" t="str">
        <f t="shared" si="12"/>
        <v/>
      </c>
      <c r="W16" s="29" t="str">
        <f t="shared" si="13"/>
        <v/>
      </c>
      <c r="X16" s="30" t="str">
        <f t="shared" si="14"/>
        <v/>
      </c>
      <c r="Y16" s="36"/>
      <c r="Z16" s="37"/>
      <c r="AA16" s="37"/>
      <c r="JG16" s="31" t="str">
        <f t="shared" si="15"/>
        <v/>
      </c>
      <c r="JH16" s="31" t="str">
        <f t="shared" si="16"/>
        <v/>
      </c>
    </row>
    <row r="17" spans="1:268" s="31" customFormat="1" x14ac:dyDescent="0.4">
      <c r="A17" s="32"/>
      <c r="B17" s="32"/>
      <c r="C17" s="32"/>
      <c r="D17" s="32"/>
      <c r="E17" s="38"/>
      <c r="F17" s="61"/>
      <c r="G17" s="33"/>
      <c r="H17" s="33"/>
      <c r="I17" s="27" t="str">
        <f t="shared" si="10"/>
        <v/>
      </c>
      <c r="J17" s="33"/>
      <c r="K17" s="28">
        <f t="shared" si="8"/>
        <v>0</v>
      </c>
      <c r="L17" s="28">
        <f>IF(AND($Y17&lt;&gt;"",$X17&lt;&gt;""),MAX(0,ROUND(($X17*$Y17),0)-NETWORKDAYS.INTL($V17,基準日,1)),0)</f>
        <v>0</v>
      </c>
      <c r="M17" s="28">
        <f t="shared" ca="1" si="9"/>
        <v>0</v>
      </c>
      <c r="N17" s="28">
        <f t="shared" ca="1" si="11"/>
        <v>0</v>
      </c>
      <c r="O17" s="34"/>
      <c r="P17" s="34"/>
      <c r="Q17" s="71" t="str" cm="1">
        <f t="array" ref="Q17">IF(SUMPRODUCT(--(B17:E17&lt;&gt;""))&gt;0,"○","")</f>
        <v/>
      </c>
      <c r="R17" s="35"/>
      <c r="S17" s="35"/>
      <c r="T17" s="35"/>
      <c r="U17" s="66"/>
      <c r="V17" s="29" t="str">
        <f t="shared" si="12"/>
        <v/>
      </c>
      <c r="W17" s="29" t="str">
        <f t="shared" si="13"/>
        <v/>
      </c>
      <c r="X17" s="30" t="str">
        <f t="shared" si="14"/>
        <v/>
      </c>
      <c r="Y17" s="36"/>
      <c r="Z17" s="37"/>
      <c r="AA17" s="37"/>
      <c r="JG17" s="31" t="str">
        <f t="shared" si="15"/>
        <v/>
      </c>
      <c r="JH17" s="31" t="str">
        <f t="shared" si="16"/>
        <v/>
      </c>
    </row>
    <row r="18" spans="1:268" s="31" customFormat="1" x14ac:dyDescent="0.4">
      <c r="A18" s="32"/>
      <c r="B18" s="32"/>
      <c r="C18" s="32"/>
      <c r="D18" s="32"/>
      <c r="E18" s="38"/>
      <c r="F18" s="61"/>
      <c r="G18" s="33"/>
      <c r="H18" s="33"/>
      <c r="I18" s="27" t="str">
        <f t="shared" si="10"/>
        <v/>
      </c>
      <c r="J18" s="33"/>
      <c r="K18" s="28">
        <f t="shared" si="8"/>
        <v>0</v>
      </c>
      <c r="L18" s="28">
        <f>IF(AND($Y18&lt;&gt;"",$X18&lt;&gt;""),MAX(0,ROUND(($X18*$Y18),0)-NETWORKDAYS.INTL($V18,基準日,1)),0)</f>
        <v>0</v>
      </c>
      <c r="M18" s="28">
        <f t="shared" ca="1" si="9"/>
        <v>0</v>
      </c>
      <c r="N18" s="28">
        <f t="shared" ca="1" si="11"/>
        <v>0</v>
      </c>
      <c r="O18" s="34"/>
      <c r="P18" s="34"/>
      <c r="Q18" s="71" t="str" cm="1">
        <f t="array" ref="Q18">IF(SUMPRODUCT(--(B18:E18&lt;&gt;""))&gt;0,"○","")</f>
        <v/>
      </c>
      <c r="R18" s="35"/>
      <c r="S18" s="35"/>
      <c r="T18" s="35"/>
      <c r="U18" s="66"/>
      <c r="V18" s="29" t="str">
        <f t="shared" si="12"/>
        <v/>
      </c>
      <c r="W18" s="29" t="str">
        <f t="shared" si="13"/>
        <v/>
      </c>
      <c r="X18" s="30" t="str">
        <f t="shared" si="14"/>
        <v/>
      </c>
      <c r="Y18" s="36"/>
      <c r="Z18" s="37"/>
      <c r="AA18" s="37"/>
      <c r="JG18" s="31" t="str">
        <f t="shared" si="15"/>
        <v/>
      </c>
      <c r="JH18" s="31" t="str">
        <f t="shared" si="16"/>
        <v/>
      </c>
    </row>
    <row r="19" spans="1:268" s="31" customFormat="1" x14ac:dyDescent="0.4">
      <c r="A19" s="32"/>
      <c r="B19" s="32"/>
      <c r="C19" s="32"/>
      <c r="D19" s="32"/>
      <c r="E19" s="38"/>
      <c r="F19" s="61"/>
      <c r="G19" s="33"/>
      <c r="H19" s="33"/>
      <c r="I19" s="27" t="str">
        <f t="shared" si="10"/>
        <v/>
      </c>
      <c r="J19" s="33"/>
      <c r="K19" s="28">
        <f t="shared" si="8"/>
        <v>0</v>
      </c>
      <c r="L19" s="28">
        <f>IF(AND($Y19&lt;&gt;"",$X19&lt;&gt;""),MAX(0,ROUND(($X19*$Y19),0)-NETWORKDAYS.INTL($V19,基準日,1)),0)</f>
        <v>0</v>
      </c>
      <c r="M19" s="28">
        <f t="shared" ca="1" si="9"/>
        <v>0</v>
      </c>
      <c r="N19" s="28">
        <f t="shared" ca="1" si="11"/>
        <v>0</v>
      </c>
      <c r="O19" s="34"/>
      <c r="P19" s="34"/>
      <c r="Q19" s="71" t="str" cm="1">
        <f t="array" ref="Q19">IF(SUMPRODUCT(--(B19:E19&lt;&gt;""))&gt;0,"○","")</f>
        <v/>
      </c>
      <c r="R19" s="35"/>
      <c r="S19" s="35"/>
      <c r="T19" s="35"/>
      <c r="U19" s="66"/>
      <c r="V19" s="29" t="str">
        <f t="shared" si="12"/>
        <v/>
      </c>
      <c r="W19" s="29" t="str">
        <f t="shared" si="13"/>
        <v/>
      </c>
      <c r="X19" s="30" t="str">
        <f t="shared" si="14"/>
        <v/>
      </c>
      <c r="Y19" s="36"/>
      <c r="Z19" s="37"/>
      <c r="AA19" s="37"/>
      <c r="JG19" s="31" t="str">
        <f t="shared" si="15"/>
        <v/>
      </c>
      <c r="JH19" s="31" t="str">
        <f t="shared" si="16"/>
        <v/>
      </c>
    </row>
    <row r="20" spans="1:268" s="31" customFormat="1" x14ac:dyDescent="0.4">
      <c r="A20" s="32"/>
      <c r="B20" s="32"/>
      <c r="C20" s="32"/>
      <c r="D20" s="32"/>
      <c r="E20" s="38"/>
      <c r="F20" s="61"/>
      <c r="G20" s="33"/>
      <c r="H20" s="33"/>
      <c r="I20" s="27" t="str">
        <f t="shared" si="10"/>
        <v/>
      </c>
      <c r="J20" s="33"/>
      <c r="K20" s="28">
        <f t="shared" si="8"/>
        <v>0</v>
      </c>
      <c r="L20" s="28">
        <f>IF(AND($Y20&lt;&gt;"",$X20&lt;&gt;""),MAX(0,ROUND(($X20*$Y20),0)-NETWORKDAYS.INTL($V20,基準日,1)),0)</f>
        <v>0</v>
      </c>
      <c r="M20" s="28">
        <f t="shared" ca="1" si="9"/>
        <v>0</v>
      </c>
      <c r="N20" s="28">
        <f t="shared" ca="1" si="11"/>
        <v>0</v>
      </c>
      <c r="O20" s="34"/>
      <c r="P20" s="34"/>
      <c r="Q20" s="71" t="str" cm="1">
        <f t="array" ref="Q20">IF(SUMPRODUCT(--(B20:E20&lt;&gt;""))&gt;0,"○","")</f>
        <v/>
      </c>
      <c r="R20" s="35"/>
      <c r="S20" s="35"/>
      <c r="T20" s="35"/>
      <c r="U20" s="66"/>
      <c r="V20" s="29" t="str">
        <f t="shared" si="12"/>
        <v/>
      </c>
      <c r="W20" s="29" t="str">
        <f t="shared" si="13"/>
        <v/>
      </c>
      <c r="X20" s="30" t="str">
        <f t="shared" si="14"/>
        <v/>
      </c>
      <c r="Y20" s="36"/>
      <c r="Z20" s="37"/>
      <c r="AA20" s="37"/>
      <c r="JG20" s="31" t="str">
        <f t="shared" si="15"/>
        <v/>
      </c>
      <c r="JH20" s="31" t="str">
        <f t="shared" si="16"/>
        <v/>
      </c>
    </row>
    <row r="21" spans="1:268" s="31" customFormat="1" x14ac:dyDescent="0.4">
      <c r="A21" s="32"/>
      <c r="B21" s="32"/>
      <c r="C21" s="32"/>
      <c r="D21" s="32"/>
      <c r="E21" s="38"/>
      <c r="F21" s="61"/>
      <c r="G21" s="33"/>
      <c r="H21" s="33"/>
      <c r="I21" s="27" t="str">
        <f t="shared" si="10"/>
        <v/>
      </c>
      <c r="J21" s="33"/>
      <c r="K21" s="28">
        <f t="shared" si="8"/>
        <v>0</v>
      </c>
      <c r="L21" s="28">
        <f>IF(AND($Y21&lt;&gt;"",$X21&lt;&gt;""),MAX(0,ROUND(($X21*$Y21),0)-NETWORKDAYS.INTL($V21,基準日,1)),0)</f>
        <v>0</v>
      </c>
      <c r="M21" s="28">
        <f t="shared" ca="1" si="9"/>
        <v>0</v>
      </c>
      <c r="N21" s="28">
        <f t="shared" ca="1" si="11"/>
        <v>0</v>
      </c>
      <c r="O21" s="34"/>
      <c r="P21" s="34"/>
      <c r="Q21" s="71" t="str" cm="1">
        <f t="array" ref="Q21">IF(SUMPRODUCT(--(B21:E21&lt;&gt;""))&gt;0,"○","")</f>
        <v/>
      </c>
      <c r="R21" s="35"/>
      <c r="S21" s="35"/>
      <c r="T21" s="35"/>
      <c r="U21" s="66"/>
      <c r="V21" s="29" t="str">
        <f t="shared" si="12"/>
        <v/>
      </c>
      <c r="W21" s="29" t="str">
        <f t="shared" si="13"/>
        <v/>
      </c>
      <c r="X21" s="30" t="str">
        <f t="shared" si="14"/>
        <v/>
      </c>
      <c r="Y21" s="36"/>
      <c r="Z21" s="37"/>
      <c r="AA21" s="37"/>
      <c r="JG21" s="31" t="str">
        <f t="shared" si="15"/>
        <v/>
      </c>
      <c r="JH21" s="31" t="str">
        <f t="shared" si="16"/>
        <v/>
      </c>
    </row>
    <row r="22" spans="1:268" s="31" customFormat="1" x14ac:dyDescent="0.4">
      <c r="A22" s="32"/>
      <c r="B22" s="32"/>
      <c r="C22" s="32"/>
      <c r="D22" s="32"/>
      <c r="E22" s="38"/>
      <c r="F22" s="61"/>
      <c r="G22" s="33"/>
      <c r="H22" s="33"/>
      <c r="I22" s="27" t="str">
        <f t="shared" si="10"/>
        <v/>
      </c>
      <c r="J22" s="33"/>
      <c r="K22" s="28">
        <f t="shared" si="8"/>
        <v>0</v>
      </c>
      <c r="L22" s="28">
        <f>IF(AND($Y22&lt;&gt;"",$X22&lt;&gt;""),MAX(0,ROUND(($X22*$Y22),0)-NETWORKDAYS.INTL($V22,基準日,1)),0)</f>
        <v>0</v>
      </c>
      <c r="M22" s="28">
        <f t="shared" ca="1" si="9"/>
        <v>0</v>
      </c>
      <c r="N22" s="28">
        <f t="shared" ca="1" si="11"/>
        <v>0</v>
      </c>
      <c r="O22" s="34"/>
      <c r="P22" s="34"/>
      <c r="Q22" s="71" t="str" cm="1">
        <f t="array" ref="Q22">IF(SUMPRODUCT(--(B22:E22&lt;&gt;""))&gt;0,"○","")</f>
        <v/>
      </c>
      <c r="R22" s="35"/>
      <c r="S22" s="35"/>
      <c r="T22" s="35"/>
      <c r="U22" s="66"/>
      <c r="V22" s="29" t="str">
        <f t="shared" si="12"/>
        <v/>
      </c>
      <c r="W22" s="29" t="str">
        <f t="shared" si="13"/>
        <v/>
      </c>
      <c r="X22" s="30" t="str">
        <f t="shared" si="14"/>
        <v/>
      </c>
      <c r="Y22" s="36"/>
      <c r="Z22" s="37"/>
      <c r="AA22" s="37"/>
      <c r="JG22" s="31" t="str">
        <f t="shared" si="15"/>
        <v/>
      </c>
      <c r="JH22" s="31" t="str">
        <f t="shared" si="16"/>
        <v/>
      </c>
    </row>
    <row r="23" spans="1:268" s="31" customFormat="1" x14ac:dyDescent="0.4">
      <c r="A23" s="32"/>
      <c r="B23" s="32"/>
      <c r="C23" s="32"/>
      <c r="D23" s="32"/>
      <c r="E23" s="38"/>
      <c r="F23" s="61"/>
      <c r="G23" s="33"/>
      <c r="H23" s="33"/>
      <c r="I23" s="27" t="str">
        <f t="shared" si="10"/>
        <v/>
      </c>
      <c r="J23" s="33"/>
      <c r="K23" s="28">
        <f t="shared" si="8"/>
        <v>0</v>
      </c>
      <c r="L23" s="28">
        <f>IF(AND($Y23&lt;&gt;"",$X23&lt;&gt;""),MAX(0,ROUND(($X23*$Y23),0)-NETWORKDAYS.INTL($V23,基準日,1)),0)</f>
        <v>0</v>
      </c>
      <c r="M23" s="28">
        <f t="shared" ca="1" si="9"/>
        <v>0</v>
      </c>
      <c r="N23" s="28">
        <f t="shared" ca="1" si="11"/>
        <v>0</v>
      </c>
      <c r="O23" s="34"/>
      <c r="P23" s="34"/>
      <c r="Q23" s="71" t="str" cm="1">
        <f t="array" ref="Q23">IF(SUMPRODUCT(--(B23:E23&lt;&gt;""))&gt;0,"○","")</f>
        <v/>
      </c>
      <c r="R23" s="35"/>
      <c r="S23" s="35"/>
      <c r="T23" s="35"/>
      <c r="U23" s="66"/>
      <c r="V23" s="29" t="str">
        <f t="shared" si="12"/>
        <v/>
      </c>
      <c r="W23" s="29" t="str">
        <f t="shared" si="13"/>
        <v/>
      </c>
      <c r="X23" s="30" t="str">
        <f t="shared" si="14"/>
        <v/>
      </c>
      <c r="Y23" s="36"/>
      <c r="Z23" s="37"/>
      <c r="AA23" s="37"/>
      <c r="JG23" s="31" t="str">
        <f t="shared" si="15"/>
        <v/>
      </c>
      <c r="JH23" s="31" t="str">
        <f t="shared" si="16"/>
        <v/>
      </c>
    </row>
    <row r="24" spans="1:268" s="31" customFormat="1" x14ac:dyDescent="0.4">
      <c r="A24" s="32"/>
      <c r="B24" s="32"/>
      <c r="C24" s="32"/>
      <c r="D24" s="32"/>
      <c r="E24" s="38"/>
      <c r="F24" s="61"/>
      <c r="G24" s="33"/>
      <c r="H24" s="33"/>
      <c r="I24" s="27" t="str">
        <f t="shared" si="10"/>
        <v/>
      </c>
      <c r="J24" s="33"/>
      <c r="K24" s="28">
        <f t="shared" si="8"/>
        <v>0</v>
      </c>
      <c r="L24" s="28">
        <f>IF(AND($Y24&lt;&gt;"",$X24&lt;&gt;""),MAX(0,ROUND(($X24*$Y24),0)-NETWORKDAYS.INTL($V24,基準日,1)),0)</f>
        <v>0</v>
      </c>
      <c r="M24" s="28">
        <f t="shared" ca="1" si="9"/>
        <v>0</v>
      </c>
      <c r="N24" s="28">
        <f t="shared" ca="1" si="11"/>
        <v>0</v>
      </c>
      <c r="O24" s="34"/>
      <c r="P24" s="34"/>
      <c r="Q24" s="71" t="str" cm="1">
        <f t="array" ref="Q24">IF(SUMPRODUCT(--(B24:E24&lt;&gt;""))&gt;0,"○","")</f>
        <v/>
      </c>
      <c r="R24" s="35"/>
      <c r="S24" s="35"/>
      <c r="T24" s="35"/>
      <c r="U24" s="66"/>
      <c r="V24" s="29" t="str">
        <f t="shared" si="12"/>
        <v/>
      </c>
      <c r="W24" s="29" t="str">
        <f t="shared" si="13"/>
        <v/>
      </c>
      <c r="X24" s="30" t="str">
        <f t="shared" si="14"/>
        <v/>
      </c>
      <c r="Y24" s="36"/>
      <c r="Z24" s="37"/>
      <c r="AA24" s="37"/>
      <c r="JG24" s="31" t="str">
        <f t="shared" si="15"/>
        <v/>
      </c>
      <c r="JH24" s="31" t="str">
        <f t="shared" si="16"/>
        <v/>
      </c>
    </row>
    <row r="25" spans="1:268" s="31" customFormat="1" x14ac:dyDescent="0.4">
      <c r="A25" s="32"/>
      <c r="B25" s="32"/>
      <c r="C25" s="32"/>
      <c r="D25" s="32"/>
      <c r="E25" s="38"/>
      <c r="F25" s="61"/>
      <c r="G25" s="33"/>
      <c r="H25" s="33"/>
      <c r="I25" s="27" t="str">
        <f t="shared" si="10"/>
        <v/>
      </c>
      <c r="J25" s="33"/>
      <c r="K25" s="28">
        <f t="shared" si="8"/>
        <v>0</v>
      </c>
      <c r="L25" s="28">
        <f>IF(AND($Y25&lt;&gt;"",$X25&lt;&gt;""),MAX(0,ROUND(($X25*$Y25),0)-NETWORKDAYS.INTL($V25,基準日,1)),0)</f>
        <v>0</v>
      </c>
      <c r="M25" s="28">
        <f t="shared" ca="1" si="9"/>
        <v>0</v>
      </c>
      <c r="N25" s="28">
        <f t="shared" ca="1" si="11"/>
        <v>0</v>
      </c>
      <c r="O25" s="34"/>
      <c r="P25" s="34"/>
      <c r="Q25" s="71" t="str" cm="1">
        <f t="array" ref="Q25">IF(SUMPRODUCT(--(B25:E25&lt;&gt;""))&gt;0,"○","")</f>
        <v/>
      </c>
      <c r="R25" s="35"/>
      <c r="S25" s="35"/>
      <c r="T25" s="35"/>
      <c r="U25" s="66"/>
      <c r="V25" s="29" t="str">
        <f t="shared" si="12"/>
        <v/>
      </c>
      <c r="W25" s="29" t="str">
        <f t="shared" si="13"/>
        <v/>
      </c>
      <c r="X25" s="30" t="str">
        <f t="shared" si="14"/>
        <v/>
      </c>
      <c r="Y25" s="36"/>
      <c r="Z25" s="37"/>
      <c r="AA25" s="37"/>
      <c r="JG25" s="31" t="str">
        <f t="shared" si="15"/>
        <v/>
      </c>
      <c r="JH25" s="31" t="str">
        <f t="shared" si="16"/>
        <v/>
      </c>
    </row>
    <row r="26" spans="1:268" s="31" customFormat="1" x14ac:dyDescent="0.4">
      <c r="A26" s="32"/>
      <c r="B26" s="32"/>
      <c r="C26" s="32"/>
      <c r="D26" s="32"/>
      <c r="E26" s="38"/>
      <c r="F26" s="61"/>
      <c r="G26" s="33"/>
      <c r="H26" s="33"/>
      <c r="I26" s="27" t="str">
        <f t="shared" si="10"/>
        <v/>
      </c>
      <c r="J26" s="33"/>
      <c r="K26" s="28">
        <f t="shared" si="8"/>
        <v>0</v>
      </c>
      <c r="L26" s="28">
        <f>IF(AND($Y26&lt;&gt;"",$X26&lt;&gt;""),MAX(0,ROUND(($X26*$Y26),0)-NETWORKDAYS.INTL($V26,基準日,1)),0)</f>
        <v>0</v>
      </c>
      <c r="M26" s="28">
        <f t="shared" ca="1" si="9"/>
        <v>0</v>
      </c>
      <c r="N26" s="28">
        <f t="shared" ca="1" si="11"/>
        <v>0</v>
      </c>
      <c r="O26" s="34"/>
      <c r="P26" s="34"/>
      <c r="Q26" s="71" t="str" cm="1">
        <f t="array" ref="Q26">IF(SUMPRODUCT(--(B26:E26&lt;&gt;""))&gt;0,"○","")</f>
        <v/>
      </c>
      <c r="R26" s="35"/>
      <c r="S26" s="35"/>
      <c r="T26" s="35"/>
      <c r="U26" s="66"/>
      <c r="V26" s="29" t="str">
        <f t="shared" si="12"/>
        <v/>
      </c>
      <c r="W26" s="29" t="str">
        <f t="shared" si="13"/>
        <v/>
      </c>
      <c r="X26" s="30" t="str">
        <f t="shared" si="14"/>
        <v/>
      </c>
      <c r="Y26" s="36"/>
      <c r="Z26" s="37"/>
      <c r="AA26" s="37"/>
      <c r="JG26" s="31" t="str">
        <f t="shared" si="15"/>
        <v/>
      </c>
      <c r="JH26" s="31" t="str">
        <f t="shared" si="16"/>
        <v/>
      </c>
    </row>
    <row r="27" spans="1:268" s="31" customFormat="1" x14ac:dyDescent="0.4">
      <c r="A27" s="32"/>
      <c r="B27" s="32"/>
      <c r="C27" s="32"/>
      <c r="D27" s="32"/>
      <c r="E27" s="38"/>
      <c r="F27" s="61"/>
      <c r="G27" s="33"/>
      <c r="H27" s="33"/>
      <c r="I27" s="27" t="str">
        <f t="shared" si="10"/>
        <v/>
      </c>
      <c r="J27" s="33"/>
      <c r="K27" s="28">
        <f t="shared" si="8"/>
        <v>0</v>
      </c>
      <c r="L27" s="28">
        <f>IF(AND($Y27&lt;&gt;"",$X27&lt;&gt;""),MAX(0,ROUND(($X27*$Y27),0)-NETWORKDAYS.INTL($V27,基準日,1)),0)</f>
        <v>0</v>
      </c>
      <c r="M27" s="28">
        <f t="shared" ca="1" si="9"/>
        <v>0</v>
      </c>
      <c r="N27" s="28">
        <f t="shared" ca="1" si="11"/>
        <v>0</v>
      </c>
      <c r="O27" s="34"/>
      <c r="P27" s="34"/>
      <c r="Q27" s="71" t="str" cm="1">
        <f t="array" ref="Q27">IF(SUMPRODUCT(--(B27:E27&lt;&gt;""))&gt;0,"○","")</f>
        <v/>
      </c>
      <c r="R27" s="35"/>
      <c r="S27" s="35"/>
      <c r="T27" s="35"/>
      <c r="U27" s="66"/>
      <c r="V27" s="29" t="str">
        <f t="shared" si="12"/>
        <v/>
      </c>
      <c r="W27" s="29" t="str">
        <f t="shared" si="13"/>
        <v/>
      </c>
      <c r="X27" s="30" t="str">
        <f t="shared" si="14"/>
        <v/>
      </c>
      <c r="Y27" s="36"/>
      <c r="Z27" s="37"/>
      <c r="AA27" s="37"/>
      <c r="JG27" s="31" t="str">
        <f t="shared" si="15"/>
        <v/>
      </c>
      <c r="JH27" s="31" t="str">
        <f t="shared" si="16"/>
        <v/>
      </c>
    </row>
    <row r="28" spans="1:268" s="31" customFormat="1" x14ac:dyDescent="0.4">
      <c r="A28" s="32"/>
      <c r="B28" s="32"/>
      <c r="C28" s="32"/>
      <c r="D28" s="32"/>
      <c r="E28" s="38"/>
      <c r="F28" s="61"/>
      <c r="G28" s="33"/>
      <c r="H28" s="33"/>
      <c r="I28" s="27" t="str">
        <f t="shared" si="10"/>
        <v/>
      </c>
      <c r="J28" s="33"/>
      <c r="K28" s="28">
        <f t="shared" si="8"/>
        <v>0</v>
      </c>
      <c r="L28" s="28">
        <f>IF(AND($Y28&lt;&gt;"",$X28&lt;&gt;""),MAX(0,ROUND(($X28*$Y28),0)-NETWORKDAYS.INTL($V28,基準日,1)),0)</f>
        <v>0</v>
      </c>
      <c r="M28" s="28">
        <f t="shared" ca="1" si="9"/>
        <v>0</v>
      </c>
      <c r="N28" s="28">
        <f t="shared" ca="1" si="11"/>
        <v>0</v>
      </c>
      <c r="O28" s="34"/>
      <c r="P28" s="34"/>
      <c r="Q28" s="71" t="str" cm="1">
        <f t="array" ref="Q28">IF(SUMPRODUCT(--(B28:E28&lt;&gt;""))&gt;0,"○","")</f>
        <v/>
      </c>
      <c r="R28" s="35"/>
      <c r="S28" s="35"/>
      <c r="T28" s="35"/>
      <c r="U28" s="66"/>
      <c r="V28" s="29" t="str">
        <f t="shared" si="12"/>
        <v/>
      </c>
      <c r="W28" s="29" t="str">
        <f t="shared" si="13"/>
        <v/>
      </c>
      <c r="X28" s="30" t="str">
        <f t="shared" si="14"/>
        <v/>
      </c>
      <c r="Y28" s="36"/>
      <c r="Z28" s="37"/>
      <c r="AA28" s="37"/>
      <c r="JG28" s="31" t="str">
        <f t="shared" si="15"/>
        <v/>
      </c>
      <c r="JH28" s="31" t="str">
        <f t="shared" si="16"/>
        <v/>
      </c>
    </row>
    <row r="29" spans="1:268" s="31" customFormat="1" x14ac:dyDescent="0.4">
      <c r="A29" s="32"/>
      <c r="B29" s="32"/>
      <c r="C29" s="32"/>
      <c r="D29" s="32"/>
      <c r="E29" s="38"/>
      <c r="F29" s="61"/>
      <c r="G29" s="33"/>
      <c r="H29" s="33"/>
      <c r="I29" s="27" t="str">
        <f t="shared" si="10"/>
        <v/>
      </c>
      <c r="J29" s="33"/>
      <c r="K29" s="28">
        <f t="shared" si="8"/>
        <v>0</v>
      </c>
      <c r="L29" s="28">
        <f>IF(AND($Y29&lt;&gt;"",$X29&lt;&gt;""),MAX(0,ROUND(($X29*$Y29),0)-NETWORKDAYS.INTL($V29,基準日,1)),0)</f>
        <v>0</v>
      </c>
      <c r="M29" s="28">
        <f t="shared" ca="1" si="9"/>
        <v>0</v>
      </c>
      <c r="N29" s="28">
        <f t="shared" ca="1" si="11"/>
        <v>0</v>
      </c>
      <c r="O29" s="34"/>
      <c r="P29" s="34"/>
      <c r="Q29" s="71" t="str" cm="1">
        <f t="array" ref="Q29">IF(SUMPRODUCT(--(B29:E29&lt;&gt;""))&gt;0,"○","")</f>
        <v/>
      </c>
      <c r="R29" s="35"/>
      <c r="S29" s="35"/>
      <c r="T29" s="35"/>
      <c r="U29" s="66"/>
      <c r="V29" s="29" t="str">
        <f t="shared" si="12"/>
        <v/>
      </c>
      <c r="W29" s="29" t="str">
        <f t="shared" si="13"/>
        <v/>
      </c>
      <c r="X29" s="30" t="str">
        <f t="shared" si="14"/>
        <v/>
      </c>
      <c r="Y29" s="36"/>
      <c r="Z29" s="37"/>
      <c r="AA29" s="37"/>
      <c r="JG29" s="31" t="str">
        <f t="shared" si="15"/>
        <v/>
      </c>
      <c r="JH29" s="31" t="str">
        <f t="shared" si="16"/>
        <v/>
      </c>
    </row>
    <row r="30" spans="1:268" s="31" customFormat="1" x14ac:dyDescent="0.4">
      <c r="A30" s="32"/>
      <c r="B30" s="32"/>
      <c r="C30" s="32"/>
      <c r="D30" s="32"/>
      <c r="E30" s="38"/>
      <c r="F30" s="61"/>
      <c r="G30" s="33"/>
      <c r="H30" s="33"/>
      <c r="I30" s="27" t="str">
        <f t="shared" si="10"/>
        <v/>
      </c>
      <c r="J30" s="33"/>
      <c r="K30" s="28">
        <f t="shared" si="8"/>
        <v>0</v>
      </c>
      <c r="L30" s="28">
        <f>IF(AND($Y30&lt;&gt;"",$X30&lt;&gt;""),MAX(0,ROUND(($X30*$Y30),0)-NETWORKDAYS.INTL($V30,基準日,1)),0)</f>
        <v>0</v>
      </c>
      <c r="M30" s="28">
        <f t="shared" ca="1" si="9"/>
        <v>0</v>
      </c>
      <c r="N30" s="28">
        <f t="shared" ca="1" si="11"/>
        <v>0</v>
      </c>
      <c r="O30" s="34"/>
      <c r="P30" s="34"/>
      <c r="Q30" s="71" t="str" cm="1">
        <f t="array" ref="Q30">IF(SUMPRODUCT(--(B30:E30&lt;&gt;""))&gt;0,"○","")</f>
        <v/>
      </c>
      <c r="R30" s="35"/>
      <c r="S30" s="35"/>
      <c r="T30" s="35"/>
      <c r="U30" s="66"/>
      <c r="V30" s="29" t="str">
        <f t="shared" si="12"/>
        <v/>
      </c>
      <c r="W30" s="29" t="str">
        <f t="shared" si="13"/>
        <v/>
      </c>
      <c r="X30" s="30" t="str">
        <f t="shared" si="14"/>
        <v/>
      </c>
      <c r="Y30" s="36"/>
      <c r="Z30" s="37"/>
      <c r="AA30" s="37"/>
      <c r="JG30" s="31" t="str">
        <f t="shared" si="15"/>
        <v/>
      </c>
      <c r="JH30" s="31" t="str">
        <f t="shared" si="16"/>
        <v/>
      </c>
    </row>
    <row r="31" spans="1:268" s="31" customFormat="1" x14ac:dyDescent="0.4">
      <c r="A31" s="32"/>
      <c r="B31" s="32"/>
      <c r="C31" s="32"/>
      <c r="D31" s="32"/>
      <c r="E31" s="38"/>
      <c r="F31" s="61"/>
      <c r="G31" s="33"/>
      <c r="H31" s="33"/>
      <c r="I31" s="27" t="str">
        <f t="shared" si="10"/>
        <v/>
      </c>
      <c r="J31" s="33"/>
      <c r="K31" s="28">
        <f t="shared" si="8"/>
        <v>0</v>
      </c>
      <c r="L31" s="28">
        <f>IF(AND($Y31&lt;&gt;"",$X31&lt;&gt;""),MAX(0,ROUND(($X31*$Y31),0)-NETWORKDAYS.INTL($V31,基準日,1)),0)</f>
        <v>0</v>
      </c>
      <c r="M31" s="28">
        <f t="shared" ca="1" si="9"/>
        <v>0</v>
      </c>
      <c r="N31" s="28">
        <f t="shared" ca="1" si="11"/>
        <v>0</v>
      </c>
      <c r="O31" s="34"/>
      <c r="P31" s="34"/>
      <c r="Q31" s="71" t="str" cm="1">
        <f t="array" ref="Q31">IF(SUMPRODUCT(--(B31:E31&lt;&gt;""))&gt;0,"○","")</f>
        <v/>
      </c>
      <c r="R31" s="35"/>
      <c r="S31" s="35"/>
      <c r="T31" s="35"/>
      <c r="U31" s="66"/>
      <c r="V31" s="29" t="str">
        <f t="shared" si="12"/>
        <v/>
      </c>
      <c r="W31" s="29" t="str">
        <f t="shared" si="13"/>
        <v/>
      </c>
      <c r="X31" s="30" t="str">
        <f t="shared" si="14"/>
        <v/>
      </c>
      <c r="Y31" s="36"/>
      <c r="Z31" s="37"/>
      <c r="AA31" s="37"/>
      <c r="JG31" s="31" t="str">
        <f t="shared" si="15"/>
        <v/>
      </c>
      <c r="JH31" s="31" t="str">
        <f t="shared" si="16"/>
        <v/>
      </c>
    </row>
    <row r="32" spans="1:268" s="31" customFormat="1" x14ac:dyDescent="0.4">
      <c r="A32" s="32"/>
      <c r="B32" s="32"/>
      <c r="C32" s="32"/>
      <c r="D32" s="32"/>
      <c r="E32" s="38"/>
      <c r="F32" s="61"/>
      <c r="G32" s="33"/>
      <c r="H32" s="33"/>
      <c r="I32" s="27" t="str">
        <f t="shared" si="10"/>
        <v/>
      </c>
      <c r="J32" s="33"/>
      <c r="K32" s="28">
        <f t="shared" si="8"/>
        <v>0</v>
      </c>
      <c r="L32" s="28">
        <f>IF(AND($Y32&lt;&gt;"",$X32&lt;&gt;""),MAX(0,ROUND(($X32*$Y32),0)-NETWORKDAYS.INTL($V32,基準日,1)),0)</f>
        <v>0</v>
      </c>
      <c r="M32" s="28">
        <f t="shared" ca="1" si="9"/>
        <v>0</v>
      </c>
      <c r="N32" s="28">
        <f t="shared" ca="1" si="11"/>
        <v>0</v>
      </c>
      <c r="O32" s="34"/>
      <c r="P32" s="34"/>
      <c r="Q32" s="71" t="str" cm="1">
        <f t="array" ref="Q32">IF(SUMPRODUCT(--(B32:E32&lt;&gt;""))&gt;0,"○","")</f>
        <v/>
      </c>
      <c r="R32" s="35"/>
      <c r="S32" s="35"/>
      <c r="T32" s="35"/>
      <c r="U32" s="66"/>
      <c r="V32" s="29" t="str">
        <f t="shared" si="12"/>
        <v/>
      </c>
      <c r="W32" s="29" t="str">
        <f t="shared" si="13"/>
        <v/>
      </c>
      <c r="X32" s="30" t="str">
        <f t="shared" si="14"/>
        <v/>
      </c>
      <c r="Y32" s="36"/>
      <c r="Z32" s="37"/>
      <c r="AA32" s="37"/>
      <c r="JG32" s="31" t="str">
        <f t="shared" si="15"/>
        <v/>
      </c>
      <c r="JH32" s="31" t="str">
        <f t="shared" si="16"/>
        <v/>
      </c>
    </row>
    <row r="33" spans="1:268" s="31" customFormat="1" x14ac:dyDescent="0.4">
      <c r="A33" s="32"/>
      <c r="B33" s="32"/>
      <c r="C33" s="32"/>
      <c r="D33" s="32"/>
      <c r="E33" s="38"/>
      <c r="F33" s="61"/>
      <c r="G33" s="33"/>
      <c r="H33" s="33"/>
      <c r="I33" s="27" t="str">
        <f t="shared" si="10"/>
        <v/>
      </c>
      <c r="J33" s="33"/>
      <c r="K33" s="28">
        <f t="shared" si="8"/>
        <v>0</v>
      </c>
      <c r="L33" s="28">
        <f>IF(AND($Y33&lt;&gt;"",$X33&lt;&gt;""),MAX(0,ROUND(($X33*$Y33),0)-NETWORKDAYS.INTL($V33,基準日,1)),0)</f>
        <v>0</v>
      </c>
      <c r="M33" s="28">
        <f t="shared" ca="1" si="9"/>
        <v>0</v>
      </c>
      <c r="N33" s="28">
        <f t="shared" ca="1" si="11"/>
        <v>0</v>
      </c>
      <c r="O33" s="34"/>
      <c r="P33" s="34"/>
      <c r="Q33" s="71" t="str" cm="1">
        <f t="array" ref="Q33">IF(SUMPRODUCT(--(B33:E33&lt;&gt;""))&gt;0,"○","")</f>
        <v/>
      </c>
      <c r="R33" s="35"/>
      <c r="S33" s="35"/>
      <c r="T33" s="35"/>
      <c r="U33" s="66"/>
      <c r="V33" s="29" t="str">
        <f t="shared" si="12"/>
        <v/>
      </c>
      <c r="W33" s="29" t="str">
        <f t="shared" si="13"/>
        <v/>
      </c>
      <c r="X33" s="30" t="str">
        <f t="shared" si="14"/>
        <v/>
      </c>
      <c r="Y33" s="36"/>
      <c r="Z33" s="37"/>
      <c r="AA33" s="37"/>
      <c r="JG33" s="31" t="str">
        <f t="shared" si="15"/>
        <v/>
      </c>
      <c r="JH33" s="31" t="str">
        <f t="shared" si="16"/>
        <v/>
      </c>
    </row>
    <row r="34" spans="1:268" s="31" customFormat="1" x14ac:dyDescent="0.4">
      <c r="A34" s="32"/>
      <c r="B34" s="32"/>
      <c r="C34" s="32"/>
      <c r="D34" s="32"/>
      <c r="E34" s="38"/>
      <c r="F34" s="61"/>
      <c r="G34" s="33"/>
      <c r="H34" s="33"/>
      <c r="I34" s="27" t="str">
        <f t="shared" si="10"/>
        <v/>
      </c>
      <c r="J34" s="33"/>
      <c r="K34" s="28">
        <f t="shared" si="8"/>
        <v>0</v>
      </c>
      <c r="L34" s="28">
        <f>IF(AND($Y34&lt;&gt;"",$X34&lt;&gt;""),MAX(0,ROUND(($X34*$Y34),0)-NETWORKDAYS.INTL($V34,基準日,1)),0)</f>
        <v>0</v>
      </c>
      <c r="M34" s="28">
        <f t="shared" ca="1" si="9"/>
        <v>0</v>
      </c>
      <c r="N34" s="28">
        <f t="shared" ca="1" si="11"/>
        <v>0</v>
      </c>
      <c r="O34" s="34"/>
      <c r="P34" s="34"/>
      <c r="Q34" s="71" t="str" cm="1">
        <f t="array" ref="Q34">IF(SUMPRODUCT(--(B34:E34&lt;&gt;""))&gt;0,"○","")</f>
        <v/>
      </c>
      <c r="R34" s="35"/>
      <c r="S34" s="35"/>
      <c r="T34" s="35"/>
      <c r="U34" s="66"/>
      <c r="V34" s="29" t="str">
        <f t="shared" si="12"/>
        <v/>
      </c>
      <c r="W34" s="29" t="str">
        <f t="shared" si="13"/>
        <v/>
      </c>
      <c r="X34" s="30" t="str">
        <f t="shared" si="14"/>
        <v/>
      </c>
      <c r="Y34" s="36"/>
      <c r="Z34" s="37"/>
      <c r="AA34" s="37"/>
      <c r="JG34" s="31" t="str">
        <f t="shared" si="15"/>
        <v/>
      </c>
      <c r="JH34" s="31" t="str">
        <f t="shared" si="16"/>
        <v/>
      </c>
    </row>
    <row r="35" spans="1:268" s="31" customFormat="1" x14ac:dyDescent="0.4">
      <c r="A35" s="32"/>
      <c r="B35" s="32"/>
      <c r="C35" s="32"/>
      <c r="D35" s="32"/>
      <c r="E35" s="38"/>
      <c r="F35" s="61"/>
      <c r="G35" s="33"/>
      <c r="H35" s="33"/>
      <c r="I35" s="27" t="str">
        <f t="shared" si="10"/>
        <v/>
      </c>
      <c r="J35" s="33"/>
      <c r="K35" s="28">
        <f t="shared" si="8"/>
        <v>0</v>
      </c>
      <c r="L35" s="28">
        <f>IF(AND($Y35&lt;&gt;"",$X35&lt;&gt;""),MAX(0,ROUND(($X35*$Y35),0)-NETWORKDAYS.INTL($V35,基準日,1)),0)</f>
        <v>0</v>
      </c>
      <c r="M35" s="28">
        <f t="shared" ca="1" si="9"/>
        <v>0</v>
      </c>
      <c r="N35" s="28">
        <f t="shared" ca="1" si="11"/>
        <v>0</v>
      </c>
      <c r="O35" s="34"/>
      <c r="P35" s="34"/>
      <c r="Q35" s="71" t="str" cm="1">
        <f t="array" ref="Q35">IF(SUMPRODUCT(--(B35:E35&lt;&gt;""))&gt;0,"○","")</f>
        <v/>
      </c>
      <c r="R35" s="35"/>
      <c r="S35" s="35"/>
      <c r="T35" s="35"/>
      <c r="U35" s="66"/>
      <c r="V35" s="29" t="str">
        <f t="shared" si="12"/>
        <v/>
      </c>
      <c r="W35" s="29" t="str">
        <f t="shared" si="13"/>
        <v/>
      </c>
      <c r="X35" s="30" t="str">
        <f t="shared" si="14"/>
        <v/>
      </c>
      <c r="Y35" s="36"/>
      <c r="Z35" s="37"/>
      <c r="AA35" s="37"/>
      <c r="JG35" s="31" t="str">
        <f t="shared" si="15"/>
        <v/>
      </c>
      <c r="JH35" s="31" t="str">
        <f t="shared" si="16"/>
        <v/>
      </c>
    </row>
    <row r="36" spans="1:268" s="31" customFormat="1" x14ac:dyDescent="0.4">
      <c r="A36" s="32"/>
      <c r="B36" s="32"/>
      <c r="C36" s="32"/>
      <c r="D36" s="32"/>
      <c r="E36" s="38"/>
      <c r="F36" s="61"/>
      <c r="G36" s="33"/>
      <c r="H36" s="33"/>
      <c r="I36" s="27" t="str">
        <f t="shared" si="10"/>
        <v/>
      </c>
      <c r="J36" s="33"/>
      <c r="K36" s="28">
        <f t="shared" si="8"/>
        <v>0</v>
      </c>
      <c r="L36" s="28">
        <f>IF(AND($Y36&lt;&gt;"",$X36&lt;&gt;""),MAX(0,ROUND(($X36*$Y36),0)-NETWORKDAYS.INTL($V36,基準日,1)),0)</f>
        <v>0</v>
      </c>
      <c r="M36" s="28">
        <f t="shared" ca="1" si="9"/>
        <v>0</v>
      </c>
      <c r="N36" s="28">
        <f t="shared" ca="1" si="11"/>
        <v>0</v>
      </c>
      <c r="O36" s="34"/>
      <c r="P36" s="34"/>
      <c r="Q36" s="71" t="str" cm="1">
        <f t="array" ref="Q36">IF(SUMPRODUCT(--(B36:E36&lt;&gt;""))&gt;0,"○","")</f>
        <v/>
      </c>
      <c r="R36" s="35"/>
      <c r="S36" s="35"/>
      <c r="T36" s="35"/>
      <c r="U36" s="66"/>
      <c r="V36" s="29" t="str">
        <f t="shared" si="12"/>
        <v/>
      </c>
      <c r="W36" s="29" t="str">
        <f t="shared" si="13"/>
        <v/>
      </c>
      <c r="X36" s="30" t="str">
        <f t="shared" si="14"/>
        <v/>
      </c>
      <c r="Y36" s="36"/>
      <c r="Z36" s="37"/>
      <c r="AA36" s="37"/>
      <c r="JG36" s="31" t="str">
        <f t="shared" si="15"/>
        <v/>
      </c>
      <c r="JH36" s="31" t="str">
        <f t="shared" si="16"/>
        <v/>
      </c>
    </row>
    <row r="37" spans="1:268" s="31" customFormat="1" x14ac:dyDescent="0.4">
      <c r="A37" s="32"/>
      <c r="B37" s="32"/>
      <c r="C37" s="32"/>
      <c r="D37" s="32"/>
      <c r="E37" s="38"/>
      <c r="F37" s="61"/>
      <c r="G37" s="33"/>
      <c r="H37" s="33"/>
      <c r="I37" s="27" t="str">
        <f t="shared" si="10"/>
        <v/>
      </c>
      <c r="J37" s="33"/>
      <c r="K37" s="28">
        <f t="shared" si="8"/>
        <v>0</v>
      </c>
      <c r="L37" s="28">
        <f>IF(AND($Y37&lt;&gt;"",$X37&lt;&gt;""),MAX(0,ROUND(($X37*$Y37),0)-NETWORKDAYS.INTL($V37,基準日,1)),0)</f>
        <v>0</v>
      </c>
      <c r="M37" s="28">
        <f t="shared" ca="1" si="9"/>
        <v>0</v>
      </c>
      <c r="N37" s="28">
        <f t="shared" ca="1" si="11"/>
        <v>0</v>
      </c>
      <c r="O37" s="34"/>
      <c r="P37" s="34"/>
      <c r="Q37" s="71" t="str" cm="1">
        <f t="array" ref="Q37">IF(SUMPRODUCT(--(B37:E37&lt;&gt;""))&gt;0,"○","")</f>
        <v/>
      </c>
      <c r="R37" s="35"/>
      <c r="S37" s="35"/>
      <c r="T37" s="35"/>
      <c r="U37" s="66"/>
      <c r="V37" s="29" t="str">
        <f t="shared" si="12"/>
        <v/>
      </c>
      <c r="W37" s="29" t="str">
        <f t="shared" si="13"/>
        <v/>
      </c>
      <c r="X37" s="30" t="str">
        <f t="shared" si="14"/>
        <v/>
      </c>
      <c r="Y37" s="36"/>
      <c r="Z37" s="37"/>
      <c r="AA37" s="37"/>
      <c r="JG37" s="31" t="str">
        <f t="shared" si="15"/>
        <v/>
      </c>
      <c r="JH37" s="31" t="str">
        <f t="shared" si="16"/>
        <v/>
      </c>
    </row>
    <row r="38" spans="1:268" s="31" customFormat="1" x14ac:dyDescent="0.4">
      <c r="A38" s="32"/>
      <c r="B38" s="32"/>
      <c r="C38" s="32"/>
      <c r="D38" s="32"/>
      <c r="E38" s="38"/>
      <c r="F38" s="61"/>
      <c r="G38" s="33"/>
      <c r="H38" s="33"/>
      <c r="I38" s="27" t="str">
        <f t="shared" si="10"/>
        <v/>
      </c>
      <c r="J38" s="33"/>
      <c r="K38" s="28">
        <f t="shared" si="8"/>
        <v>0</v>
      </c>
      <c r="L38" s="28">
        <f>IF(AND($Y38&lt;&gt;"",$X38&lt;&gt;""),MAX(0,ROUND(($X38*$Y38),0)-NETWORKDAYS.INTL($V38,基準日,1)),0)</f>
        <v>0</v>
      </c>
      <c r="M38" s="28">
        <f t="shared" ca="1" si="9"/>
        <v>0</v>
      </c>
      <c r="N38" s="28">
        <f t="shared" ca="1" si="11"/>
        <v>0</v>
      </c>
      <c r="O38" s="34"/>
      <c r="P38" s="34"/>
      <c r="Q38" s="71" t="str" cm="1">
        <f t="array" ref="Q38">IF(SUMPRODUCT(--(B38:E38&lt;&gt;""))&gt;0,"○","")</f>
        <v/>
      </c>
      <c r="R38" s="35"/>
      <c r="S38" s="35"/>
      <c r="T38" s="35"/>
      <c r="U38" s="66"/>
      <c r="V38" s="29" t="str">
        <f t="shared" si="12"/>
        <v/>
      </c>
      <c r="W38" s="29" t="str">
        <f t="shared" si="13"/>
        <v/>
      </c>
      <c r="X38" s="30" t="str">
        <f t="shared" si="14"/>
        <v/>
      </c>
      <c r="Y38" s="36"/>
      <c r="Z38" s="37"/>
      <c r="AA38" s="37"/>
      <c r="JG38" s="31" t="str">
        <f t="shared" si="15"/>
        <v/>
      </c>
      <c r="JH38" s="31" t="str">
        <f t="shared" si="16"/>
        <v/>
      </c>
    </row>
    <row r="39" spans="1:268" s="31" customFormat="1" x14ac:dyDescent="0.4">
      <c r="A39" s="32"/>
      <c r="B39" s="32"/>
      <c r="C39" s="32"/>
      <c r="D39" s="32"/>
      <c r="E39" s="38"/>
      <c r="F39" s="61"/>
      <c r="G39" s="33"/>
      <c r="H39" s="33"/>
      <c r="I39" s="27" t="str">
        <f t="shared" si="10"/>
        <v/>
      </c>
      <c r="J39" s="33"/>
      <c r="K39" s="28">
        <f t="shared" si="8"/>
        <v>0</v>
      </c>
      <c r="L39" s="28">
        <f>IF(AND($Y39&lt;&gt;"",$X39&lt;&gt;""),MAX(0,ROUND(($X39*$Y39),0)-NETWORKDAYS.INTL($V39,基準日,1)),0)</f>
        <v>0</v>
      </c>
      <c r="M39" s="28">
        <f t="shared" ca="1" si="9"/>
        <v>0</v>
      </c>
      <c r="N39" s="28">
        <f t="shared" ca="1" si="11"/>
        <v>0</v>
      </c>
      <c r="O39" s="34"/>
      <c r="P39" s="34"/>
      <c r="Q39" s="71" t="str" cm="1">
        <f t="array" ref="Q39">IF(SUMPRODUCT(--(B39:E39&lt;&gt;""))&gt;0,"○","")</f>
        <v/>
      </c>
      <c r="R39" s="35"/>
      <c r="S39" s="35"/>
      <c r="T39" s="35"/>
      <c r="U39" s="66"/>
      <c r="V39" s="29" t="str">
        <f t="shared" si="12"/>
        <v/>
      </c>
      <c r="W39" s="29" t="str">
        <f t="shared" si="13"/>
        <v/>
      </c>
      <c r="X39" s="30" t="str">
        <f t="shared" si="14"/>
        <v/>
      </c>
      <c r="Y39" s="36"/>
      <c r="Z39" s="37"/>
      <c r="AA39" s="37"/>
      <c r="JG39" s="31" t="str">
        <f t="shared" si="15"/>
        <v/>
      </c>
      <c r="JH39" s="31" t="str">
        <f t="shared" si="16"/>
        <v/>
      </c>
    </row>
    <row r="40" spans="1:268" s="31" customFormat="1" x14ac:dyDescent="0.4">
      <c r="A40" s="32"/>
      <c r="B40" s="32"/>
      <c r="C40" s="32"/>
      <c r="D40" s="32"/>
      <c r="E40" s="38"/>
      <c r="F40" s="61"/>
      <c r="G40" s="33"/>
      <c r="H40" s="33"/>
      <c r="I40" s="27" t="str">
        <f t="shared" si="10"/>
        <v/>
      </c>
      <c r="J40" s="33"/>
      <c r="K40" s="28">
        <f t="shared" si="8"/>
        <v>0</v>
      </c>
      <c r="L40" s="28">
        <f>IF(AND($Y40&lt;&gt;"",$X40&lt;&gt;""),MAX(0,ROUND(($X40*$Y40),0)-NETWORKDAYS.INTL($V40,基準日,1)),0)</f>
        <v>0</v>
      </c>
      <c r="M40" s="28">
        <f t="shared" ca="1" si="9"/>
        <v>0</v>
      </c>
      <c r="N40" s="28">
        <f t="shared" ca="1" si="11"/>
        <v>0</v>
      </c>
      <c r="O40" s="34"/>
      <c r="P40" s="34"/>
      <c r="Q40" s="71" t="str" cm="1">
        <f t="array" ref="Q40">IF(SUMPRODUCT(--(B40:E40&lt;&gt;""))&gt;0,"○","")</f>
        <v/>
      </c>
      <c r="R40" s="35"/>
      <c r="S40" s="35"/>
      <c r="T40" s="35"/>
      <c r="U40" s="66"/>
      <c r="V40" s="29" t="str">
        <f t="shared" si="12"/>
        <v/>
      </c>
      <c r="W40" s="29" t="str">
        <f t="shared" si="13"/>
        <v/>
      </c>
      <c r="X40" s="30" t="str">
        <f t="shared" si="14"/>
        <v/>
      </c>
      <c r="Y40" s="36"/>
      <c r="Z40" s="37"/>
      <c r="AA40" s="37"/>
      <c r="JG40" s="31" t="str">
        <f t="shared" si="15"/>
        <v/>
      </c>
      <c r="JH40" s="31" t="str">
        <f t="shared" si="16"/>
        <v/>
      </c>
    </row>
    <row r="41" spans="1:268" s="31" customFormat="1" x14ac:dyDescent="0.4">
      <c r="A41" s="32"/>
      <c r="B41" s="32"/>
      <c r="C41" s="32"/>
      <c r="D41" s="32"/>
      <c r="E41" s="38"/>
      <c r="F41" s="61"/>
      <c r="G41" s="33"/>
      <c r="H41" s="33"/>
      <c r="I41" s="27" t="str">
        <f t="shared" si="10"/>
        <v/>
      </c>
      <c r="J41" s="33"/>
      <c r="K41" s="28">
        <f t="shared" si="8"/>
        <v>0</v>
      </c>
      <c r="L41" s="28">
        <f>IF(AND($Y41&lt;&gt;"",$X41&lt;&gt;""),MAX(0,ROUND(($X41*$Y41),0)-NETWORKDAYS.INTL($V41,基準日,1)),0)</f>
        <v>0</v>
      </c>
      <c r="M41" s="28">
        <f t="shared" ca="1" si="9"/>
        <v>0</v>
      </c>
      <c r="N41" s="28">
        <f t="shared" ca="1" si="11"/>
        <v>0</v>
      </c>
      <c r="O41" s="34"/>
      <c r="P41" s="34"/>
      <c r="Q41" s="71" t="str" cm="1">
        <f t="array" ref="Q41">IF(SUMPRODUCT(--(B41:E41&lt;&gt;""))&gt;0,"○","")</f>
        <v/>
      </c>
      <c r="R41" s="35"/>
      <c r="S41" s="35"/>
      <c r="T41" s="35"/>
      <c r="U41" s="66"/>
      <c r="V41" s="29" t="str">
        <f t="shared" si="12"/>
        <v/>
      </c>
      <c r="W41" s="29" t="str">
        <f t="shared" si="13"/>
        <v/>
      </c>
      <c r="X41" s="30" t="str">
        <f t="shared" si="14"/>
        <v/>
      </c>
      <c r="Y41" s="36"/>
      <c r="Z41" s="37"/>
      <c r="AA41" s="37"/>
      <c r="JG41" s="31" t="str">
        <f t="shared" si="15"/>
        <v/>
      </c>
      <c r="JH41" s="31" t="str">
        <f t="shared" si="16"/>
        <v/>
      </c>
    </row>
    <row r="42" spans="1:268" s="31" customFormat="1" x14ac:dyDescent="0.4">
      <c r="A42" s="32"/>
      <c r="B42" s="32"/>
      <c r="C42" s="32"/>
      <c r="D42" s="32"/>
      <c r="E42" s="38"/>
      <c r="F42" s="61"/>
      <c r="G42" s="33"/>
      <c r="H42" s="33"/>
      <c r="I42" s="27" t="str">
        <f t="shared" si="10"/>
        <v/>
      </c>
      <c r="J42" s="33"/>
      <c r="K42" s="28">
        <f t="shared" si="8"/>
        <v>0</v>
      </c>
      <c r="L42" s="28">
        <f>IF(AND($Y42&lt;&gt;"",$X42&lt;&gt;""),MAX(0,ROUND(($X42*$Y42),0)-NETWORKDAYS.INTL($V42,基準日,1)),0)</f>
        <v>0</v>
      </c>
      <c r="M42" s="28">
        <f t="shared" ca="1" si="9"/>
        <v>0</v>
      </c>
      <c r="N42" s="28">
        <f t="shared" ca="1" si="11"/>
        <v>0</v>
      </c>
      <c r="O42" s="34"/>
      <c r="P42" s="34"/>
      <c r="Q42" s="71" t="str" cm="1">
        <f t="array" ref="Q42">IF(SUMPRODUCT(--(B42:E42&lt;&gt;""))&gt;0,"○","")</f>
        <v/>
      </c>
      <c r="R42" s="35"/>
      <c r="S42" s="35"/>
      <c r="T42" s="35"/>
      <c r="U42" s="66"/>
      <c r="V42" s="29" t="str">
        <f t="shared" si="12"/>
        <v/>
      </c>
      <c r="W42" s="29" t="str">
        <f t="shared" si="13"/>
        <v/>
      </c>
      <c r="X42" s="30" t="str">
        <f t="shared" si="14"/>
        <v/>
      </c>
      <c r="Y42" s="36"/>
      <c r="Z42" s="37"/>
      <c r="AA42" s="37"/>
      <c r="JG42" s="31" t="str">
        <f t="shared" si="15"/>
        <v/>
      </c>
      <c r="JH42" s="31" t="str">
        <f t="shared" si="16"/>
        <v/>
      </c>
    </row>
    <row r="43" spans="1:268" s="31" customFormat="1" x14ac:dyDescent="0.4">
      <c r="A43" s="32"/>
      <c r="B43" s="32"/>
      <c r="C43" s="32"/>
      <c r="D43" s="32"/>
      <c r="E43" s="38"/>
      <c r="F43" s="61"/>
      <c r="G43" s="33"/>
      <c r="H43" s="33"/>
      <c r="I43" s="27" t="str">
        <f t="shared" si="10"/>
        <v/>
      </c>
      <c r="J43" s="33"/>
      <c r="K43" s="28">
        <f t="shared" si="8"/>
        <v>0</v>
      </c>
      <c r="L43" s="28">
        <f>IF(AND($Y43&lt;&gt;"",$X43&lt;&gt;""),MAX(0,ROUND(($X43*$Y43),0)-NETWORKDAYS.INTL($V43,基準日,1)),0)</f>
        <v>0</v>
      </c>
      <c r="M43" s="28">
        <f t="shared" ca="1" si="9"/>
        <v>0</v>
      </c>
      <c r="N43" s="28">
        <f t="shared" ca="1" si="11"/>
        <v>0</v>
      </c>
      <c r="O43" s="34"/>
      <c r="P43" s="34"/>
      <c r="Q43" s="71" t="str" cm="1">
        <f t="array" ref="Q43">IF(SUMPRODUCT(--(B43:E43&lt;&gt;""))&gt;0,"○","")</f>
        <v/>
      </c>
      <c r="R43" s="35"/>
      <c r="S43" s="35"/>
      <c r="T43" s="35"/>
      <c r="U43" s="66"/>
      <c r="V43" s="29" t="str">
        <f t="shared" si="12"/>
        <v/>
      </c>
      <c r="W43" s="29" t="str">
        <f t="shared" si="13"/>
        <v/>
      </c>
      <c r="X43" s="30" t="str">
        <f t="shared" si="14"/>
        <v/>
      </c>
      <c r="Y43" s="36"/>
      <c r="Z43" s="37"/>
      <c r="AA43" s="37"/>
      <c r="JG43" s="31" t="str">
        <f t="shared" si="15"/>
        <v/>
      </c>
      <c r="JH43" s="31" t="str">
        <f t="shared" si="16"/>
        <v/>
      </c>
    </row>
    <row r="44" spans="1:268" s="31" customFormat="1" x14ac:dyDescent="0.4">
      <c r="A44" s="32"/>
      <c r="B44" s="32"/>
      <c r="C44" s="32"/>
      <c r="D44" s="32"/>
      <c r="E44" s="38"/>
      <c r="F44" s="61"/>
      <c r="G44" s="33"/>
      <c r="H44" s="33"/>
      <c r="I44" s="27" t="str">
        <f t="shared" si="10"/>
        <v/>
      </c>
      <c r="J44" s="33"/>
      <c r="K44" s="28">
        <f t="shared" si="8"/>
        <v>0</v>
      </c>
      <c r="L44" s="28">
        <f>IF(AND($Y44&lt;&gt;"",$X44&lt;&gt;""),MAX(0,ROUND(($X44*$Y44),0)-NETWORKDAYS.INTL($V44,基準日,1)),0)</f>
        <v>0</v>
      </c>
      <c r="M44" s="28">
        <f t="shared" ca="1" si="9"/>
        <v>0</v>
      </c>
      <c r="N44" s="28">
        <f t="shared" ca="1" si="11"/>
        <v>0</v>
      </c>
      <c r="O44" s="34"/>
      <c r="P44" s="34"/>
      <c r="Q44" s="71" t="str" cm="1">
        <f t="array" ref="Q44">IF(SUMPRODUCT(--(B44:E44&lt;&gt;""))&gt;0,"○","")</f>
        <v/>
      </c>
      <c r="R44" s="35"/>
      <c r="S44" s="35"/>
      <c r="T44" s="35"/>
      <c r="U44" s="66"/>
      <c r="V44" s="29" t="str">
        <f t="shared" si="12"/>
        <v/>
      </c>
      <c r="W44" s="29" t="str">
        <f t="shared" si="13"/>
        <v/>
      </c>
      <c r="X44" s="30" t="str">
        <f t="shared" si="14"/>
        <v/>
      </c>
      <c r="Y44" s="36"/>
      <c r="Z44" s="37"/>
      <c r="AA44" s="37"/>
      <c r="JG44" s="31" t="str">
        <f t="shared" si="15"/>
        <v/>
      </c>
      <c r="JH44" s="31" t="str">
        <f t="shared" si="16"/>
        <v/>
      </c>
    </row>
    <row r="45" spans="1:268" s="31" customFormat="1" x14ac:dyDescent="0.4">
      <c r="A45" s="32"/>
      <c r="B45" s="32"/>
      <c r="C45" s="32"/>
      <c r="D45" s="32"/>
      <c r="E45" s="38"/>
      <c r="F45" s="61"/>
      <c r="G45" s="33"/>
      <c r="H45" s="33"/>
      <c r="I45" s="27" t="str">
        <f t="shared" si="10"/>
        <v/>
      </c>
      <c r="J45" s="33"/>
      <c r="K45" s="28">
        <f t="shared" si="8"/>
        <v>0</v>
      </c>
      <c r="L45" s="28">
        <f>IF(AND($Y45&lt;&gt;"",$X45&lt;&gt;""),MAX(0,ROUND(($X45*$Y45),0)-NETWORKDAYS.INTL($V45,基準日,1)),0)</f>
        <v>0</v>
      </c>
      <c r="M45" s="28">
        <f t="shared" ca="1" si="9"/>
        <v>0</v>
      </c>
      <c r="N45" s="28">
        <f t="shared" ca="1" si="11"/>
        <v>0</v>
      </c>
      <c r="O45" s="34"/>
      <c r="P45" s="34"/>
      <c r="Q45" s="71" t="str" cm="1">
        <f t="array" ref="Q45">IF(SUMPRODUCT(--(B45:E45&lt;&gt;""))&gt;0,"○","")</f>
        <v/>
      </c>
      <c r="R45" s="35"/>
      <c r="S45" s="35"/>
      <c r="T45" s="35"/>
      <c r="U45" s="66"/>
      <c r="V45" s="29" t="str">
        <f t="shared" si="12"/>
        <v/>
      </c>
      <c r="W45" s="29" t="str">
        <f t="shared" si="13"/>
        <v/>
      </c>
      <c r="X45" s="30" t="str">
        <f t="shared" si="14"/>
        <v/>
      </c>
      <c r="Y45" s="36"/>
      <c r="Z45" s="37"/>
      <c r="AA45" s="37"/>
      <c r="JG45" s="31" t="str">
        <f t="shared" si="15"/>
        <v/>
      </c>
      <c r="JH45" s="31" t="str">
        <f t="shared" si="16"/>
        <v/>
      </c>
    </row>
    <row r="46" spans="1:268" s="31" customFormat="1" x14ac:dyDescent="0.4">
      <c r="A46" s="32"/>
      <c r="B46" s="32"/>
      <c r="C46" s="32"/>
      <c r="D46" s="32"/>
      <c r="E46" s="38"/>
      <c r="F46" s="61"/>
      <c r="G46" s="33"/>
      <c r="H46" s="33"/>
      <c r="I46" s="27" t="str">
        <f t="shared" si="10"/>
        <v/>
      </c>
      <c r="J46" s="33"/>
      <c r="K46" s="28">
        <f t="shared" si="8"/>
        <v>0</v>
      </c>
      <c r="L46" s="28">
        <f>IF(AND($Y46&lt;&gt;"",$X46&lt;&gt;""),MAX(0,ROUND(($X46*$Y46),0)-NETWORKDAYS.INTL($V46,基準日,1)),0)</f>
        <v>0</v>
      </c>
      <c r="M46" s="28">
        <f t="shared" ca="1" si="9"/>
        <v>0</v>
      </c>
      <c r="N46" s="28">
        <f t="shared" ca="1" si="11"/>
        <v>0</v>
      </c>
      <c r="O46" s="34"/>
      <c r="P46" s="34"/>
      <c r="Q46" s="71" t="str" cm="1">
        <f t="array" ref="Q46">IF(SUMPRODUCT(--(B46:E46&lt;&gt;""))&gt;0,"○","")</f>
        <v/>
      </c>
      <c r="R46" s="35"/>
      <c r="S46" s="35"/>
      <c r="T46" s="35"/>
      <c r="U46" s="66"/>
      <c r="V46" s="29" t="str">
        <f t="shared" si="12"/>
        <v/>
      </c>
      <c r="W46" s="29" t="str">
        <f t="shared" si="13"/>
        <v/>
      </c>
      <c r="X46" s="30" t="str">
        <f t="shared" si="14"/>
        <v/>
      </c>
      <c r="Y46" s="36"/>
      <c r="Z46" s="37"/>
      <c r="AA46" s="37"/>
      <c r="JG46" s="31" t="str">
        <f t="shared" si="15"/>
        <v/>
      </c>
      <c r="JH46" s="31" t="str">
        <f t="shared" si="16"/>
        <v/>
      </c>
    </row>
    <row r="47" spans="1:268" s="31" customFormat="1" x14ac:dyDescent="0.4">
      <c r="A47" s="32"/>
      <c r="B47" s="32"/>
      <c r="C47" s="32"/>
      <c r="D47" s="32"/>
      <c r="E47" s="38"/>
      <c r="F47" s="61"/>
      <c r="G47" s="33"/>
      <c r="H47" s="33"/>
      <c r="I47" s="27" t="str">
        <f t="shared" si="10"/>
        <v/>
      </c>
      <c r="J47" s="33"/>
      <c r="K47" s="28">
        <f t="shared" si="8"/>
        <v>0</v>
      </c>
      <c r="L47" s="28">
        <f>IF(AND($Y47&lt;&gt;"",$X47&lt;&gt;""),MAX(0,ROUND(($X47*$Y47),0)-NETWORKDAYS.INTL($V47,基準日,1)),0)</f>
        <v>0</v>
      </c>
      <c r="M47" s="28">
        <f t="shared" ca="1" si="9"/>
        <v>0</v>
      </c>
      <c r="N47" s="28">
        <f t="shared" ca="1" si="11"/>
        <v>0</v>
      </c>
      <c r="O47" s="34"/>
      <c r="P47" s="34"/>
      <c r="Q47" s="71" t="str" cm="1">
        <f t="array" ref="Q47">IF(SUMPRODUCT(--(B47:E47&lt;&gt;""))&gt;0,"○","")</f>
        <v/>
      </c>
      <c r="R47" s="35"/>
      <c r="S47" s="35"/>
      <c r="T47" s="35"/>
      <c r="U47" s="66"/>
      <c r="V47" s="29" t="str">
        <f t="shared" si="12"/>
        <v/>
      </c>
      <c r="W47" s="29" t="str">
        <f t="shared" si="13"/>
        <v/>
      </c>
      <c r="X47" s="30" t="str">
        <f t="shared" si="14"/>
        <v/>
      </c>
      <c r="Y47" s="36"/>
      <c r="Z47" s="37"/>
      <c r="AA47" s="37"/>
      <c r="JG47" s="31" t="str">
        <f t="shared" si="15"/>
        <v/>
      </c>
      <c r="JH47" s="31" t="str">
        <f t="shared" si="16"/>
        <v/>
      </c>
    </row>
    <row r="48" spans="1:268" s="31" customFormat="1" x14ac:dyDescent="0.4">
      <c r="A48" s="32"/>
      <c r="B48" s="32"/>
      <c r="C48" s="32"/>
      <c r="D48" s="32"/>
      <c r="E48" s="38"/>
      <c r="F48" s="61"/>
      <c r="G48" s="33"/>
      <c r="H48" s="33"/>
      <c r="I48" s="27" t="str">
        <f t="shared" si="10"/>
        <v/>
      </c>
      <c r="J48" s="33"/>
      <c r="K48" s="28">
        <f t="shared" si="8"/>
        <v>0</v>
      </c>
      <c r="L48" s="28">
        <f>IF(AND($Y48&lt;&gt;"",$X48&lt;&gt;""),MAX(0,ROUND(($X48*$Y48),0)-NETWORKDAYS.INTL($V48,基準日,1)),0)</f>
        <v>0</v>
      </c>
      <c r="M48" s="28">
        <f t="shared" ca="1" si="9"/>
        <v>0</v>
      </c>
      <c r="N48" s="28">
        <f t="shared" ca="1" si="11"/>
        <v>0</v>
      </c>
      <c r="O48" s="34"/>
      <c r="P48" s="34"/>
      <c r="Q48" s="71" t="str" cm="1">
        <f t="array" ref="Q48">IF(SUMPRODUCT(--(B48:E48&lt;&gt;""))&gt;0,"○","")</f>
        <v/>
      </c>
      <c r="R48" s="35"/>
      <c r="S48" s="35"/>
      <c r="T48" s="35"/>
      <c r="U48" s="66"/>
      <c r="V48" s="29" t="str">
        <f t="shared" si="12"/>
        <v/>
      </c>
      <c r="W48" s="29" t="str">
        <f t="shared" si="13"/>
        <v/>
      </c>
      <c r="X48" s="30" t="str">
        <f t="shared" si="14"/>
        <v/>
      </c>
      <c r="Y48" s="36"/>
      <c r="Z48" s="37"/>
      <c r="AA48" s="37"/>
      <c r="JG48" s="31" t="str">
        <f t="shared" si="15"/>
        <v/>
      </c>
      <c r="JH48" s="31" t="str">
        <f t="shared" si="16"/>
        <v/>
      </c>
    </row>
    <row r="49" spans="1:268" s="31" customFormat="1" x14ac:dyDescent="0.4">
      <c r="A49" s="32"/>
      <c r="B49" s="32"/>
      <c r="C49" s="32"/>
      <c r="D49" s="32"/>
      <c r="E49" s="38"/>
      <c r="F49" s="61"/>
      <c r="G49" s="33"/>
      <c r="H49" s="33"/>
      <c r="I49" s="27" t="str">
        <f t="shared" si="10"/>
        <v/>
      </c>
      <c r="J49" s="33"/>
      <c r="K49" s="28">
        <f t="shared" si="8"/>
        <v>0</v>
      </c>
      <c r="L49" s="28">
        <f>IF(AND($Y49&lt;&gt;"",$X49&lt;&gt;""),MAX(0,ROUND(($X49*$Y49),0)-NETWORKDAYS.INTL($V49,基準日,1)),0)</f>
        <v>0</v>
      </c>
      <c r="M49" s="28">
        <f t="shared" ca="1" si="9"/>
        <v>0</v>
      </c>
      <c r="N49" s="28">
        <f t="shared" ca="1" si="11"/>
        <v>0</v>
      </c>
      <c r="O49" s="34"/>
      <c r="P49" s="34"/>
      <c r="Q49" s="71" t="str" cm="1">
        <f t="array" ref="Q49">IF(SUMPRODUCT(--(B49:E49&lt;&gt;""))&gt;0,"○","")</f>
        <v/>
      </c>
      <c r="R49" s="35"/>
      <c r="S49" s="35"/>
      <c r="T49" s="35"/>
      <c r="U49" s="66"/>
      <c r="V49" s="29" t="str">
        <f t="shared" si="12"/>
        <v/>
      </c>
      <c r="W49" s="29" t="str">
        <f t="shared" si="13"/>
        <v/>
      </c>
      <c r="X49" s="30" t="str">
        <f t="shared" si="14"/>
        <v/>
      </c>
      <c r="Y49" s="36"/>
      <c r="Z49" s="37"/>
      <c r="AA49" s="37"/>
      <c r="JG49" s="31" t="str">
        <f t="shared" si="15"/>
        <v/>
      </c>
      <c r="JH49" s="31" t="str">
        <f t="shared" si="16"/>
        <v/>
      </c>
    </row>
    <row r="50" spans="1:268" s="31" customFormat="1" x14ac:dyDescent="0.4">
      <c r="A50" s="32"/>
      <c r="B50" s="32"/>
      <c r="C50" s="32"/>
      <c r="D50" s="32"/>
      <c r="E50" s="38"/>
      <c r="F50" s="61"/>
      <c r="G50" s="33"/>
      <c r="H50" s="33"/>
      <c r="I50" s="27" t="str">
        <f t="shared" si="10"/>
        <v/>
      </c>
      <c r="J50" s="33"/>
      <c r="K50" s="28">
        <f t="shared" si="8"/>
        <v>0</v>
      </c>
      <c r="L50" s="28">
        <f>IF(AND($Y50&lt;&gt;"",$X50&lt;&gt;""),MAX(0,ROUND(($X50*$Y50),0)-NETWORKDAYS.INTL($V50,基準日,1)),0)</f>
        <v>0</v>
      </c>
      <c r="M50" s="28">
        <f t="shared" ca="1" si="9"/>
        <v>0</v>
      </c>
      <c r="N50" s="28">
        <f t="shared" ca="1" si="11"/>
        <v>0</v>
      </c>
      <c r="O50" s="34"/>
      <c r="P50" s="34"/>
      <c r="Q50" s="71" t="str" cm="1">
        <f t="array" ref="Q50">IF(SUMPRODUCT(--(B50:E50&lt;&gt;""))&gt;0,"○","")</f>
        <v/>
      </c>
      <c r="R50" s="35"/>
      <c r="S50" s="35"/>
      <c r="T50" s="35"/>
      <c r="U50" s="66"/>
      <c r="V50" s="29" t="str">
        <f t="shared" si="12"/>
        <v/>
      </c>
      <c r="W50" s="29" t="str">
        <f t="shared" si="13"/>
        <v/>
      </c>
      <c r="X50" s="30" t="str">
        <f t="shared" si="14"/>
        <v/>
      </c>
      <c r="Y50" s="36"/>
      <c r="Z50" s="37"/>
      <c r="AA50" s="37"/>
      <c r="JG50" s="31" t="str">
        <f t="shared" si="15"/>
        <v/>
      </c>
      <c r="JH50" s="31" t="str">
        <f t="shared" si="16"/>
        <v/>
      </c>
    </row>
    <row r="51" spans="1:268" s="31" customFormat="1" x14ac:dyDescent="0.4">
      <c r="A51" s="32"/>
      <c r="B51" s="32"/>
      <c r="C51" s="32"/>
      <c r="D51" s="32"/>
      <c r="E51" s="38"/>
      <c r="F51" s="61"/>
      <c r="G51" s="33"/>
      <c r="H51" s="33"/>
      <c r="I51" s="27" t="str">
        <f t="shared" si="10"/>
        <v/>
      </c>
      <c r="J51" s="33"/>
      <c r="K51" s="28">
        <f t="shared" si="8"/>
        <v>0</v>
      </c>
      <c r="L51" s="28">
        <f>IF(AND($Y51&lt;&gt;"",$X51&lt;&gt;""),MAX(0,ROUND(($X51*$Y51),0)-NETWORKDAYS.INTL($V51,基準日,1)),0)</f>
        <v>0</v>
      </c>
      <c r="M51" s="28">
        <f t="shared" ca="1" si="9"/>
        <v>0</v>
      </c>
      <c r="N51" s="28">
        <f t="shared" ca="1" si="11"/>
        <v>0</v>
      </c>
      <c r="O51" s="34"/>
      <c r="P51" s="34"/>
      <c r="Q51" s="71" t="str" cm="1">
        <f t="array" ref="Q51">IF(SUMPRODUCT(--(B51:E51&lt;&gt;""))&gt;0,"○","")</f>
        <v/>
      </c>
      <c r="R51" s="35"/>
      <c r="S51" s="35"/>
      <c r="T51" s="35"/>
      <c r="U51" s="66"/>
      <c r="V51" s="29" t="str">
        <f t="shared" si="12"/>
        <v/>
      </c>
      <c r="W51" s="29" t="str">
        <f t="shared" si="13"/>
        <v/>
      </c>
      <c r="X51" s="30" t="str">
        <f t="shared" si="14"/>
        <v/>
      </c>
      <c r="Y51" s="36"/>
      <c r="Z51" s="37"/>
      <c r="AA51" s="37"/>
      <c r="JG51" s="31" t="str">
        <f t="shared" si="15"/>
        <v/>
      </c>
      <c r="JH51" s="31" t="str">
        <f t="shared" si="16"/>
        <v/>
      </c>
    </row>
    <row r="52" spans="1:268" s="31" customFormat="1" x14ac:dyDescent="0.4">
      <c r="A52" s="32"/>
      <c r="B52" s="32"/>
      <c r="C52" s="32"/>
      <c r="D52" s="32"/>
      <c r="E52" s="38"/>
      <c r="F52" s="61"/>
      <c r="G52" s="33"/>
      <c r="H52" s="33"/>
      <c r="I52" s="27" t="str">
        <f t="shared" si="10"/>
        <v/>
      </c>
      <c r="J52" s="33"/>
      <c r="K52" s="28">
        <f t="shared" si="8"/>
        <v>0</v>
      </c>
      <c r="L52" s="28">
        <f>IF(AND($Y52&lt;&gt;"",$X52&lt;&gt;""),MAX(0,ROUND(($X52*$Y52),0)-NETWORKDAYS.INTL($V52,基準日,1)),0)</f>
        <v>0</v>
      </c>
      <c r="M52" s="28">
        <f t="shared" ca="1" si="9"/>
        <v>0</v>
      </c>
      <c r="N52" s="28">
        <f t="shared" ca="1" si="11"/>
        <v>0</v>
      </c>
      <c r="O52" s="34"/>
      <c r="P52" s="34"/>
      <c r="Q52" s="71" t="str" cm="1">
        <f t="array" ref="Q52">IF(SUMPRODUCT(--(B52:E52&lt;&gt;""))&gt;0,"○","")</f>
        <v/>
      </c>
      <c r="R52" s="35"/>
      <c r="S52" s="35"/>
      <c r="T52" s="35"/>
      <c r="U52" s="66"/>
      <c r="V52" s="29" t="str">
        <f t="shared" si="12"/>
        <v/>
      </c>
      <c r="W52" s="29" t="str">
        <f t="shared" si="13"/>
        <v/>
      </c>
      <c r="X52" s="30" t="str">
        <f t="shared" si="14"/>
        <v/>
      </c>
      <c r="Y52" s="36"/>
      <c r="Z52" s="37"/>
      <c r="AA52" s="37"/>
      <c r="JG52" s="31" t="str">
        <f t="shared" si="15"/>
        <v/>
      </c>
      <c r="JH52" s="31" t="str">
        <f t="shared" si="16"/>
        <v/>
      </c>
    </row>
    <row r="53" spans="1:268" s="31" customFormat="1" x14ac:dyDescent="0.4">
      <c r="A53" s="32"/>
      <c r="B53" s="32"/>
      <c r="C53" s="32"/>
      <c r="D53" s="32"/>
      <c r="E53" s="38"/>
      <c r="F53" s="61"/>
      <c r="G53" s="33"/>
      <c r="H53" s="33"/>
      <c r="I53" s="27" t="str">
        <f t="shared" si="10"/>
        <v/>
      </c>
      <c r="J53" s="33"/>
      <c r="K53" s="28">
        <f t="shared" si="8"/>
        <v>0</v>
      </c>
      <c r="L53" s="28">
        <f>IF(AND($Y53&lt;&gt;"",$X53&lt;&gt;""),MAX(0,ROUND(($X53*$Y53),0)-NETWORKDAYS.INTL($V53,基準日,1)),0)</f>
        <v>0</v>
      </c>
      <c r="M53" s="28">
        <f t="shared" ca="1" si="9"/>
        <v>0</v>
      </c>
      <c r="N53" s="28">
        <f t="shared" ca="1" si="11"/>
        <v>0</v>
      </c>
      <c r="O53" s="34"/>
      <c r="P53" s="34"/>
      <c r="Q53" s="71" t="str" cm="1">
        <f t="array" ref="Q53">IF(SUMPRODUCT(--(B53:E53&lt;&gt;""))&gt;0,"○","")</f>
        <v/>
      </c>
      <c r="R53" s="35"/>
      <c r="S53" s="35"/>
      <c r="T53" s="35"/>
      <c r="U53" s="66"/>
      <c r="V53" s="29" t="str">
        <f t="shared" si="12"/>
        <v/>
      </c>
      <c r="W53" s="29" t="str">
        <f t="shared" si="13"/>
        <v/>
      </c>
      <c r="X53" s="30" t="str">
        <f t="shared" si="14"/>
        <v/>
      </c>
      <c r="Y53" s="36"/>
      <c r="Z53" s="37"/>
      <c r="AA53" s="37"/>
      <c r="JG53" s="31" t="str">
        <f t="shared" si="15"/>
        <v/>
      </c>
      <c r="JH53" s="31" t="str">
        <f t="shared" si="16"/>
        <v/>
      </c>
    </row>
    <row r="54" spans="1:268" s="31" customFormat="1" x14ac:dyDescent="0.4">
      <c r="A54" s="32"/>
      <c r="B54" s="32"/>
      <c r="C54" s="32"/>
      <c r="D54" s="32"/>
      <c r="E54" s="38"/>
      <c r="F54" s="61"/>
      <c r="G54" s="33"/>
      <c r="H54" s="33"/>
      <c r="I54" s="27" t="str">
        <f t="shared" si="10"/>
        <v/>
      </c>
      <c r="J54" s="33"/>
      <c r="K54" s="28">
        <f t="shared" si="8"/>
        <v>0</v>
      </c>
      <c r="L54" s="28">
        <f>IF(AND($Y54&lt;&gt;"",$X54&lt;&gt;""),MAX(0,ROUND(($X54*$Y54),0)-NETWORKDAYS.INTL($V54,基準日,1)),0)</f>
        <v>0</v>
      </c>
      <c r="M54" s="28">
        <f t="shared" ca="1" si="9"/>
        <v>0</v>
      </c>
      <c r="N54" s="28">
        <f t="shared" ca="1" si="11"/>
        <v>0</v>
      </c>
      <c r="O54" s="34"/>
      <c r="P54" s="34"/>
      <c r="Q54" s="71" t="str" cm="1">
        <f t="array" ref="Q54">IF(SUMPRODUCT(--(B54:E54&lt;&gt;""))&gt;0,"○","")</f>
        <v/>
      </c>
      <c r="R54" s="35"/>
      <c r="S54" s="35"/>
      <c r="T54" s="35"/>
      <c r="U54" s="66"/>
      <c r="V54" s="29" t="str">
        <f t="shared" si="12"/>
        <v/>
      </c>
      <c r="W54" s="29" t="str">
        <f t="shared" si="13"/>
        <v/>
      </c>
      <c r="X54" s="30" t="str">
        <f t="shared" si="14"/>
        <v/>
      </c>
      <c r="Y54" s="36"/>
      <c r="Z54" s="37"/>
      <c r="AA54" s="37"/>
      <c r="JG54" s="31" t="str">
        <f t="shared" si="15"/>
        <v/>
      </c>
      <c r="JH54" s="31" t="str">
        <f t="shared" si="16"/>
        <v/>
      </c>
    </row>
    <row r="55" spans="1:268" s="31" customFormat="1" x14ac:dyDescent="0.4">
      <c r="A55" s="32"/>
      <c r="B55" s="32"/>
      <c r="C55" s="32"/>
      <c r="D55" s="32"/>
      <c r="E55" s="38"/>
      <c r="F55" s="61"/>
      <c r="G55" s="33"/>
      <c r="H55" s="33"/>
      <c r="I55" s="27" t="str">
        <f t="shared" si="10"/>
        <v/>
      </c>
      <c r="J55" s="33"/>
      <c r="K55" s="28">
        <f t="shared" si="8"/>
        <v>0</v>
      </c>
      <c r="L55" s="28">
        <f>IF(AND($Y55&lt;&gt;"",$X55&lt;&gt;""),MAX(0,ROUND(($X55*$Y55),0)-NETWORKDAYS.INTL($V55,基準日,1)),0)</f>
        <v>0</v>
      </c>
      <c r="M55" s="28">
        <f t="shared" ca="1" si="9"/>
        <v>0</v>
      </c>
      <c r="N55" s="28">
        <f t="shared" ca="1" si="11"/>
        <v>0</v>
      </c>
      <c r="O55" s="34"/>
      <c r="P55" s="34"/>
      <c r="Q55" s="71" t="str" cm="1">
        <f t="array" ref="Q55">IF(SUMPRODUCT(--(B55:E55&lt;&gt;""))&gt;0,"○","")</f>
        <v/>
      </c>
      <c r="R55" s="35"/>
      <c r="S55" s="35"/>
      <c r="T55" s="35"/>
      <c r="U55" s="66"/>
      <c r="V55" s="29" t="str">
        <f t="shared" si="12"/>
        <v/>
      </c>
      <c r="W55" s="29" t="str">
        <f t="shared" si="13"/>
        <v/>
      </c>
      <c r="X55" s="30" t="str">
        <f t="shared" si="14"/>
        <v/>
      </c>
      <c r="Y55" s="36"/>
      <c r="Z55" s="37"/>
      <c r="AA55" s="37"/>
      <c r="JG55" s="31" t="str">
        <f t="shared" si="15"/>
        <v/>
      </c>
      <c r="JH55" s="31" t="str">
        <f t="shared" si="16"/>
        <v/>
      </c>
    </row>
    <row r="56" spans="1:268" s="31" customFormat="1" x14ac:dyDescent="0.4">
      <c r="A56" s="32"/>
      <c r="B56" s="32"/>
      <c r="C56" s="32"/>
      <c r="D56" s="32"/>
      <c r="E56" s="38"/>
      <c r="F56" s="61"/>
      <c r="G56" s="33"/>
      <c r="H56" s="33"/>
      <c r="I56" s="27" t="str">
        <f t="shared" si="10"/>
        <v/>
      </c>
      <c r="J56" s="33"/>
      <c r="K56" s="28">
        <f t="shared" si="8"/>
        <v>0</v>
      </c>
      <c r="L56" s="28">
        <f>IF(AND($Y56&lt;&gt;"",$X56&lt;&gt;""),MAX(0,ROUND(($X56*$Y56),0)-NETWORKDAYS.INTL($V56,基準日,1)),0)</f>
        <v>0</v>
      </c>
      <c r="M56" s="28">
        <f t="shared" ca="1" si="9"/>
        <v>0</v>
      </c>
      <c r="N56" s="28">
        <f t="shared" ca="1" si="11"/>
        <v>0</v>
      </c>
      <c r="O56" s="34"/>
      <c r="P56" s="34"/>
      <c r="Q56" s="71" t="str" cm="1">
        <f t="array" ref="Q56">IF(SUMPRODUCT(--(B56:E56&lt;&gt;""))&gt;0,"○","")</f>
        <v/>
      </c>
      <c r="R56" s="35"/>
      <c r="S56" s="35"/>
      <c r="T56" s="35"/>
      <c r="U56" s="66"/>
      <c r="V56" s="29" t="str">
        <f t="shared" si="12"/>
        <v/>
      </c>
      <c r="W56" s="29" t="str">
        <f t="shared" si="13"/>
        <v/>
      </c>
      <c r="X56" s="30" t="str">
        <f t="shared" si="14"/>
        <v/>
      </c>
      <c r="Y56" s="36"/>
      <c r="Z56" s="37"/>
      <c r="AA56" s="37"/>
      <c r="JG56" s="31" t="str">
        <f t="shared" si="15"/>
        <v/>
      </c>
      <c r="JH56" s="31" t="str">
        <f t="shared" si="16"/>
        <v/>
      </c>
    </row>
    <row r="57" spans="1:268" s="31" customFormat="1" x14ac:dyDescent="0.4">
      <c r="A57" s="32"/>
      <c r="B57" s="32"/>
      <c r="C57" s="32"/>
      <c r="D57" s="32"/>
      <c r="E57" s="38"/>
      <c r="F57" s="61"/>
      <c r="G57" s="33"/>
      <c r="H57" s="33"/>
      <c r="I57" s="27" t="str">
        <f t="shared" si="10"/>
        <v/>
      </c>
      <c r="J57" s="33"/>
      <c r="K57" s="28">
        <f t="shared" si="8"/>
        <v>0</v>
      </c>
      <c r="L57" s="28">
        <f>IF(AND($Y57&lt;&gt;"",$X57&lt;&gt;""),MAX(0,ROUND(($X57*$Y57),0)-NETWORKDAYS.INTL($V57,基準日,1)),0)</f>
        <v>0</v>
      </c>
      <c r="M57" s="28">
        <f t="shared" ca="1" si="9"/>
        <v>0</v>
      </c>
      <c r="N57" s="28">
        <f t="shared" ca="1" si="11"/>
        <v>0</v>
      </c>
      <c r="O57" s="34"/>
      <c r="P57" s="34"/>
      <c r="Q57" s="71" t="str" cm="1">
        <f t="array" ref="Q57">IF(SUMPRODUCT(--(B57:E57&lt;&gt;""))&gt;0,"○","")</f>
        <v/>
      </c>
      <c r="R57" s="35"/>
      <c r="S57" s="35"/>
      <c r="T57" s="35"/>
      <c r="U57" s="66"/>
      <c r="V57" s="29" t="str">
        <f t="shared" si="12"/>
        <v/>
      </c>
      <c r="W57" s="29" t="str">
        <f t="shared" si="13"/>
        <v/>
      </c>
      <c r="X57" s="30" t="str">
        <f t="shared" si="14"/>
        <v/>
      </c>
      <c r="Y57" s="36"/>
      <c r="Z57" s="37"/>
      <c r="AA57" s="37"/>
      <c r="JG57" s="31" t="str">
        <f t="shared" si="15"/>
        <v/>
      </c>
      <c r="JH57" s="31" t="str">
        <f t="shared" si="16"/>
        <v/>
      </c>
    </row>
    <row r="58" spans="1:268" s="31" customFormat="1" x14ac:dyDescent="0.4">
      <c r="A58" s="32"/>
      <c r="B58" s="32"/>
      <c r="C58" s="32"/>
      <c r="D58" s="32"/>
      <c r="E58" s="38"/>
      <c r="F58" s="61"/>
      <c r="G58" s="33"/>
      <c r="H58" s="33"/>
      <c r="I58" s="27" t="str">
        <f t="shared" si="10"/>
        <v/>
      </c>
      <c r="J58" s="33"/>
      <c r="K58" s="28">
        <f t="shared" si="8"/>
        <v>0</v>
      </c>
      <c r="L58" s="28">
        <f>IF(AND($Y58&lt;&gt;"",$X58&lt;&gt;""),MAX(0,ROUND(($X58*$Y58),0)-NETWORKDAYS.INTL($V58,基準日,1)),0)</f>
        <v>0</v>
      </c>
      <c r="M58" s="28">
        <f t="shared" ca="1" si="9"/>
        <v>0</v>
      </c>
      <c r="N58" s="28">
        <f t="shared" ca="1" si="11"/>
        <v>0</v>
      </c>
      <c r="O58" s="34"/>
      <c r="P58" s="34"/>
      <c r="Q58" s="71" t="str" cm="1">
        <f t="array" ref="Q58">IF(SUMPRODUCT(--(B58:E58&lt;&gt;""))&gt;0,"○","")</f>
        <v/>
      </c>
      <c r="R58" s="35"/>
      <c r="S58" s="35"/>
      <c r="T58" s="35"/>
      <c r="U58" s="66"/>
      <c r="V58" s="29" t="str">
        <f t="shared" si="12"/>
        <v/>
      </c>
      <c r="W58" s="29" t="str">
        <f t="shared" si="13"/>
        <v/>
      </c>
      <c r="X58" s="30" t="str">
        <f t="shared" si="14"/>
        <v/>
      </c>
      <c r="Y58" s="36"/>
      <c r="Z58" s="37"/>
      <c r="AA58" s="37"/>
      <c r="JG58" s="31" t="str">
        <f t="shared" si="15"/>
        <v/>
      </c>
      <c r="JH58" s="31" t="str">
        <f t="shared" si="16"/>
        <v/>
      </c>
    </row>
    <row r="59" spans="1:268" s="31" customFormat="1" x14ac:dyDescent="0.4">
      <c r="A59" s="32"/>
      <c r="B59" s="32"/>
      <c r="C59" s="32"/>
      <c r="D59" s="32"/>
      <c r="E59" s="38"/>
      <c r="F59" s="61"/>
      <c r="G59" s="33"/>
      <c r="H59" s="33"/>
      <c r="I59" s="27" t="str">
        <f t="shared" si="10"/>
        <v/>
      </c>
      <c r="J59" s="33"/>
      <c r="K59" s="28">
        <f t="shared" si="8"/>
        <v>0</v>
      </c>
      <c r="L59" s="28">
        <f>IF(AND($Y59&lt;&gt;"",$X59&lt;&gt;""),MAX(0,ROUND(($X59*$Y59),0)-NETWORKDAYS.INTL($V59,基準日,1)),0)</f>
        <v>0</v>
      </c>
      <c r="M59" s="28">
        <f t="shared" ca="1" si="9"/>
        <v>0</v>
      </c>
      <c r="N59" s="28">
        <f t="shared" ca="1" si="11"/>
        <v>0</v>
      </c>
      <c r="O59" s="34"/>
      <c r="P59" s="34"/>
      <c r="Q59" s="71" t="str" cm="1">
        <f t="array" ref="Q59">IF(SUMPRODUCT(--(B59:E59&lt;&gt;""))&gt;0,"○","")</f>
        <v/>
      </c>
      <c r="R59" s="35"/>
      <c r="S59" s="35"/>
      <c r="T59" s="35"/>
      <c r="U59" s="66"/>
      <c r="V59" s="29" t="str">
        <f t="shared" si="12"/>
        <v/>
      </c>
      <c r="W59" s="29" t="str">
        <f t="shared" si="13"/>
        <v/>
      </c>
      <c r="X59" s="30" t="str">
        <f t="shared" si="14"/>
        <v/>
      </c>
      <c r="Y59" s="36"/>
      <c r="Z59" s="37"/>
      <c r="AA59" s="37"/>
      <c r="JG59" s="31" t="str">
        <f t="shared" si="15"/>
        <v/>
      </c>
      <c r="JH59" s="31" t="str">
        <f t="shared" si="16"/>
        <v/>
      </c>
    </row>
    <row r="60" spans="1:268" s="31" customFormat="1" x14ac:dyDescent="0.4">
      <c r="A60" s="32"/>
      <c r="B60" s="32"/>
      <c r="C60" s="32"/>
      <c r="D60" s="32"/>
      <c r="E60" s="38"/>
      <c r="F60" s="61"/>
      <c r="G60" s="33"/>
      <c r="H60" s="33"/>
      <c r="I60" s="27" t="str">
        <f t="shared" si="10"/>
        <v/>
      </c>
      <c r="J60" s="33"/>
      <c r="K60" s="28">
        <f t="shared" si="8"/>
        <v>0</v>
      </c>
      <c r="L60" s="28">
        <f>IF(AND($Y60&lt;&gt;"",$X60&lt;&gt;""),MAX(0,ROUND(($X60*$Y60),0)-NETWORKDAYS.INTL($V60,基準日,1)),0)</f>
        <v>0</v>
      </c>
      <c r="M60" s="28">
        <f t="shared" ca="1" si="9"/>
        <v>0</v>
      </c>
      <c r="N60" s="28">
        <f t="shared" ca="1" si="11"/>
        <v>0</v>
      </c>
      <c r="O60" s="34"/>
      <c r="P60" s="34"/>
      <c r="Q60" s="71" t="str" cm="1">
        <f t="array" ref="Q60">IF(SUMPRODUCT(--(B60:E60&lt;&gt;""))&gt;0,"○","")</f>
        <v/>
      </c>
      <c r="R60" s="35"/>
      <c r="S60" s="35"/>
      <c r="T60" s="35"/>
      <c r="U60" s="66"/>
      <c r="V60" s="29" t="str">
        <f t="shared" si="12"/>
        <v/>
      </c>
      <c r="W60" s="29" t="str">
        <f t="shared" si="13"/>
        <v/>
      </c>
      <c r="X60" s="30" t="str">
        <f t="shared" si="14"/>
        <v/>
      </c>
      <c r="Y60" s="36"/>
      <c r="Z60" s="37"/>
      <c r="AA60" s="37"/>
      <c r="JG60" s="31" t="str">
        <f t="shared" si="15"/>
        <v/>
      </c>
      <c r="JH60" s="31" t="str">
        <f t="shared" si="16"/>
        <v/>
      </c>
    </row>
    <row r="61" spans="1:268" s="31" customFormat="1" x14ac:dyDescent="0.4">
      <c r="A61" s="32"/>
      <c r="B61" s="32"/>
      <c r="C61" s="32"/>
      <c r="D61" s="32"/>
      <c r="E61" s="38"/>
      <c r="F61" s="61"/>
      <c r="G61" s="33"/>
      <c r="H61" s="33"/>
      <c r="I61" s="27" t="str">
        <f t="shared" si="10"/>
        <v/>
      </c>
      <c r="J61" s="33"/>
      <c r="K61" s="28">
        <f t="shared" si="8"/>
        <v>0</v>
      </c>
      <c r="L61" s="28">
        <f>IF(AND($Y61&lt;&gt;"",$X61&lt;&gt;""),MAX(0,ROUND(($X61*$Y61),0)-NETWORKDAYS.INTL($V61,基準日,1)),0)</f>
        <v>0</v>
      </c>
      <c r="M61" s="28">
        <f t="shared" ca="1" si="9"/>
        <v>0</v>
      </c>
      <c r="N61" s="28">
        <f t="shared" ca="1" si="11"/>
        <v>0</v>
      </c>
      <c r="O61" s="34"/>
      <c r="P61" s="34"/>
      <c r="Q61" s="71" t="str" cm="1">
        <f t="array" ref="Q61">IF(SUMPRODUCT(--(B61:E61&lt;&gt;""))&gt;0,"○","")</f>
        <v/>
      </c>
      <c r="R61" s="35"/>
      <c r="S61" s="35"/>
      <c r="T61" s="35"/>
      <c r="U61" s="66"/>
      <c r="V61" s="29" t="str">
        <f t="shared" si="12"/>
        <v/>
      </c>
      <c r="W61" s="29" t="str">
        <f t="shared" si="13"/>
        <v/>
      </c>
      <c r="X61" s="30" t="str">
        <f t="shared" si="14"/>
        <v/>
      </c>
      <c r="Y61" s="36"/>
      <c r="Z61" s="37"/>
      <c r="AA61" s="37"/>
      <c r="JG61" s="31" t="str">
        <f t="shared" si="15"/>
        <v/>
      </c>
      <c r="JH61" s="31" t="str">
        <f t="shared" si="16"/>
        <v/>
      </c>
    </row>
    <row r="62" spans="1:268" s="31" customFormat="1" x14ac:dyDescent="0.4">
      <c r="A62" s="32"/>
      <c r="B62" s="32"/>
      <c r="C62" s="32"/>
      <c r="D62" s="32"/>
      <c r="E62" s="38"/>
      <c r="F62" s="61"/>
      <c r="G62" s="33"/>
      <c r="H62" s="33"/>
      <c r="I62" s="27" t="str">
        <f t="shared" si="10"/>
        <v/>
      </c>
      <c r="J62" s="33"/>
      <c r="K62" s="28">
        <f t="shared" si="8"/>
        <v>0</v>
      </c>
      <c r="L62" s="28">
        <f>IF(AND($Y62&lt;&gt;"",$X62&lt;&gt;""),MAX(0,ROUND(($X62*$Y62),0)-NETWORKDAYS.INTL($V62,基準日,1)),0)</f>
        <v>0</v>
      </c>
      <c r="M62" s="28">
        <f t="shared" ca="1" si="9"/>
        <v>0</v>
      </c>
      <c r="N62" s="28">
        <f t="shared" ca="1" si="11"/>
        <v>0</v>
      </c>
      <c r="O62" s="34"/>
      <c r="P62" s="34"/>
      <c r="Q62" s="71" t="str" cm="1">
        <f t="array" ref="Q62">IF(SUMPRODUCT(--(B62:E62&lt;&gt;""))&gt;0,"○","")</f>
        <v/>
      </c>
      <c r="R62" s="35"/>
      <c r="S62" s="35"/>
      <c r="T62" s="35"/>
      <c r="U62" s="66"/>
      <c r="V62" s="29" t="str">
        <f t="shared" si="12"/>
        <v/>
      </c>
      <c r="W62" s="29" t="str">
        <f t="shared" si="13"/>
        <v/>
      </c>
      <c r="X62" s="30" t="str">
        <f t="shared" si="14"/>
        <v/>
      </c>
      <c r="Y62" s="36"/>
      <c r="Z62" s="37"/>
      <c r="AA62" s="37"/>
      <c r="JG62" s="31" t="str">
        <f t="shared" si="15"/>
        <v/>
      </c>
      <c r="JH62" s="31" t="str">
        <f t="shared" si="16"/>
        <v/>
      </c>
    </row>
    <row r="63" spans="1:268" s="31" customFormat="1" x14ac:dyDescent="0.4">
      <c r="A63" s="32"/>
      <c r="B63" s="32"/>
      <c r="C63" s="32"/>
      <c r="D63" s="32"/>
      <c r="E63" s="38"/>
      <c r="F63" s="61"/>
      <c r="G63" s="33"/>
      <c r="H63" s="33"/>
      <c r="I63" s="27" t="str">
        <f t="shared" si="10"/>
        <v/>
      </c>
      <c r="J63" s="33"/>
      <c r="K63" s="28">
        <f t="shared" si="8"/>
        <v>0</v>
      </c>
      <c r="L63" s="28">
        <f>IF(AND($Y63&lt;&gt;"",$X63&lt;&gt;""),MAX(0,ROUND(($X63*$Y63),0)-NETWORKDAYS.INTL($V63,基準日,1)),0)</f>
        <v>0</v>
      </c>
      <c r="M63" s="28">
        <f t="shared" ca="1" si="9"/>
        <v>0</v>
      </c>
      <c r="N63" s="28">
        <f t="shared" ca="1" si="11"/>
        <v>0</v>
      </c>
      <c r="O63" s="34"/>
      <c r="P63" s="34"/>
      <c r="Q63" s="71" t="str" cm="1">
        <f t="array" ref="Q63">IF(SUMPRODUCT(--(B63:E63&lt;&gt;""))&gt;0,"○","")</f>
        <v/>
      </c>
      <c r="R63" s="35"/>
      <c r="S63" s="35"/>
      <c r="T63" s="35"/>
      <c r="U63" s="66"/>
      <c r="V63" s="29" t="str">
        <f t="shared" si="12"/>
        <v/>
      </c>
      <c r="W63" s="29" t="str">
        <f t="shared" si="13"/>
        <v/>
      </c>
      <c r="X63" s="30" t="str">
        <f t="shared" si="14"/>
        <v/>
      </c>
      <c r="Y63" s="36"/>
      <c r="Z63" s="37"/>
      <c r="AA63" s="37"/>
      <c r="JG63" s="31" t="str">
        <f t="shared" si="15"/>
        <v/>
      </c>
      <c r="JH63" s="31" t="str">
        <f t="shared" si="16"/>
        <v/>
      </c>
    </row>
    <row r="64" spans="1:268" s="31" customFormat="1" x14ac:dyDescent="0.4">
      <c r="A64" s="32"/>
      <c r="B64" s="32"/>
      <c r="C64" s="32"/>
      <c r="D64" s="32"/>
      <c r="E64" s="38"/>
      <c r="F64" s="61"/>
      <c r="G64" s="33"/>
      <c r="H64" s="33"/>
      <c r="I64" s="27" t="str">
        <f t="shared" si="10"/>
        <v/>
      </c>
      <c r="J64" s="33"/>
      <c r="K64" s="28">
        <f t="shared" si="8"/>
        <v>0</v>
      </c>
      <c r="L64" s="28">
        <f>IF(AND($Y64&lt;&gt;"",$X64&lt;&gt;""),MAX(0,ROUND(($X64*$Y64),0)-NETWORKDAYS.INTL($V64,基準日,1)),0)</f>
        <v>0</v>
      </c>
      <c r="M64" s="28">
        <f t="shared" ca="1" si="9"/>
        <v>0</v>
      </c>
      <c r="N64" s="28">
        <f t="shared" ca="1" si="11"/>
        <v>0</v>
      </c>
      <c r="O64" s="34"/>
      <c r="P64" s="34"/>
      <c r="Q64" s="71" t="str" cm="1">
        <f t="array" ref="Q64">IF(SUMPRODUCT(--(B64:E64&lt;&gt;""))&gt;0,"○","")</f>
        <v/>
      </c>
      <c r="R64" s="35"/>
      <c r="S64" s="35"/>
      <c r="T64" s="35"/>
      <c r="U64" s="66"/>
      <c r="V64" s="29" t="str">
        <f t="shared" si="12"/>
        <v/>
      </c>
      <c r="W64" s="29" t="str">
        <f t="shared" si="13"/>
        <v/>
      </c>
      <c r="X64" s="30" t="str">
        <f t="shared" si="14"/>
        <v/>
      </c>
      <c r="Y64" s="36"/>
      <c r="Z64" s="37"/>
      <c r="AA64" s="37"/>
      <c r="JG64" s="31" t="str">
        <f t="shared" si="15"/>
        <v/>
      </c>
      <c r="JH64" s="31" t="str">
        <f t="shared" si="16"/>
        <v/>
      </c>
    </row>
    <row r="65" spans="1:268" s="31" customFormat="1" x14ac:dyDescent="0.4">
      <c r="A65" s="32"/>
      <c r="B65" s="32"/>
      <c r="C65" s="32"/>
      <c r="D65" s="32"/>
      <c r="E65" s="38"/>
      <c r="F65" s="61"/>
      <c r="G65" s="33"/>
      <c r="H65" s="33"/>
      <c r="I65" s="27" t="str">
        <f t="shared" si="10"/>
        <v/>
      </c>
      <c r="J65" s="33"/>
      <c r="K65" s="28">
        <f t="shared" si="8"/>
        <v>0</v>
      </c>
      <c r="L65" s="28">
        <f>IF(AND($Y65&lt;&gt;"",$X65&lt;&gt;""),MAX(0,ROUND(($X65*$Y65),0)-NETWORKDAYS.INTL($V65,基準日,1)),0)</f>
        <v>0</v>
      </c>
      <c r="M65" s="28">
        <f t="shared" ca="1" si="9"/>
        <v>0</v>
      </c>
      <c r="N65" s="28">
        <f t="shared" ca="1" si="11"/>
        <v>0</v>
      </c>
      <c r="O65" s="34"/>
      <c r="P65" s="34"/>
      <c r="Q65" s="71" t="str" cm="1">
        <f t="array" ref="Q65">IF(SUMPRODUCT(--(B65:E65&lt;&gt;""))&gt;0,"○","")</f>
        <v/>
      </c>
      <c r="R65" s="35"/>
      <c r="S65" s="35"/>
      <c r="T65" s="35"/>
      <c r="U65" s="66"/>
      <c r="V65" s="29" t="str">
        <f t="shared" si="12"/>
        <v/>
      </c>
      <c r="W65" s="29" t="str">
        <f t="shared" si="13"/>
        <v/>
      </c>
      <c r="X65" s="30" t="str">
        <f t="shared" si="14"/>
        <v/>
      </c>
      <c r="Y65" s="36"/>
      <c r="Z65" s="37"/>
      <c r="AA65" s="37"/>
      <c r="JG65" s="31" t="str">
        <f t="shared" si="15"/>
        <v/>
      </c>
      <c r="JH65" s="31" t="str">
        <f t="shared" si="16"/>
        <v/>
      </c>
    </row>
    <row r="66" spans="1:268" s="31" customFormat="1" x14ac:dyDescent="0.4">
      <c r="A66" s="32"/>
      <c r="B66" s="32"/>
      <c r="C66" s="32"/>
      <c r="D66" s="32"/>
      <c r="E66" s="38"/>
      <c r="F66" s="61"/>
      <c r="G66" s="33"/>
      <c r="H66" s="33"/>
      <c r="I66" s="27" t="str">
        <f t="shared" si="10"/>
        <v/>
      </c>
      <c r="J66" s="33"/>
      <c r="K66" s="28">
        <f t="shared" si="8"/>
        <v>0</v>
      </c>
      <c r="L66" s="28">
        <f>IF(AND($Y66&lt;&gt;"",$X66&lt;&gt;""),MAX(0,ROUND(($X66*$Y66),0)-NETWORKDAYS.INTL($V66,基準日,1)),0)</f>
        <v>0</v>
      </c>
      <c r="M66" s="28">
        <f t="shared" ca="1" si="9"/>
        <v>0</v>
      </c>
      <c r="N66" s="28">
        <f t="shared" ca="1" si="11"/>
        <v>0</v>
      </c>
      <c r="O66" s="34"/>
      <c r="P66" s="34"/>
      <c r="Q66" s="71" t="str" cm="1">
        <f t="array" ref="Q66">IF(SUMPRODUCT(--(B66:E66&lt;&gt;""))&gt;0,"○","")</f>
        <v/>
      </c>
      <c r="R66" s="35"/>
      <c r="S66" s="35"/>
      <c r="T66" s="35"/>
      <c r="U66" s="66"/>
      <c r="V66" s="29" t="str">
        <f t="shared" si="12"/>
        <v/>
      </c>
      <c r="W66" s="29" t="str">
        <f t="shared" si="13"/>
        <v/>
      </c>
      <c r="X66" s="30" t="str">
        <f t="shared" si="14"/>
        <v/>
      </c>
      <c r="Y66" s="36"/>
      <c r="Z66" s="37"/>
      <c r="AA66" s="37"/>
      <c r="JG66" s="31" t="str">
        <f t="shared" si="15"/>
        <v/>
      </c>
      <c r="JH66" s="31" t="str">
        <f t="shared" si="16"/>
        <v/>
      </c>
    </row>
    <row r="67" spans="1:268" s="31" customFormat="1" x14ac:dyDescent="0.4">
      <c r="A67" s="32"/>
      <c r="B67" s="32"/>
      <c r="C67" s="32"/>
      <c r="D67" s="32"/>
      <c r="E67" s="38"/>
      <c r="F67" s="61"/>
      <c r="G67" s="33"/>
      <c r="H67" s="33"/>
      <c r="I67" s="27" t="str">
        <f t="shared" si="10"/>
        <v/>
      </c>
      <c r="J67" s="33"/>
      <c r="K67" s="28">
        <f t="shared" si="8"/>
        <v>0</v>
      </c>
      <c r="L67" s="28">
        <f>IF(AND($Y67&lt;&gt;"",$X67&lt;&gt;""),MAX(0,ROUND(($X67*$Y67),0)-NETWORKDAYS.INTL($V67,基準日,1)),0)</f>
        <v>0</v>
      </c>
      <c r="M67" s="28">
        <f t="shared" ca="1" si="9"/>
        <v>0</v>
      </c>
      <c r="N67" s="28">
        <f t="shared" ca="1" si="11"/>
        <v>0</v>
      </c>
      <c r="O67" s="34"/>
      <c r="P67" s="34"/>
      <c r="Q67" s="71" t="str" cm="1">
        <f t="array" ref="Q67">IF(SUMPRODUCT(--(B67:E67&lt;&gt;""))&gt;0,"○","")</f>
        <v/>
      </c>
      <c r="R67" s="35"/>
      <c r="S67" s="35"/>
      <c r="T67" s="35"/>
      <c r="U67" s="66"/>
      <c r="V67" s="29" t="str">
        <f t="shared" si="12"/>
        <v/>
      </c>
      <c r="W67" s="29" t="str">
        <f t="shared" si="13"/>
        <v/>
      </c>
      <c r="X67" s="30" t="str">
        <f t="shared" si="14"/>
        <v/>
      </c>
      <c r="Y67" s="36"/>
      <c r="Z67" s="37"/>
      <c r="AA67" s="37"/>
      <c r="JG67" s="31" t="str">
        <f t="shared" si="15"/>
        <v/>
      </c>
      <c r="JH67" s="31" t="str">
        <f t="shared" si="16"/>
        <v/>
      </c>
    </row>
    <row r="68" spans="1:268" s="31" customFormat="1" x14ac:dyDescent="0.4">
      <c r="A68" s="32"/>
      <c r="B68" s="32"/>
      <c r="C68" s="32"/>
      <c r="D68" s="32"/>
      <c r="E68" s="38"/>
      <c r="F68" s="61"/>
      <c r="G68" s="33"/>
      <c r="H68" s="33"/>
      <c r="I68" s="27" t="str">
        <f t="shared" si="10"/>
        <v/>
      </c>
      <c r="J68" s="33"/>
      <c r="K68" s="28">
        <f t="shared" si="8"/>
        <v>0</v>
      </c>
      <c r="L68" s="28">
        <f>IF(AND($Y68&lt;&gt;"",$X68&lt;&gt;""),MAX(0,ROUND(($X68*$Y68),0)-NETWORKDAYS.INTL($V68,基準日,1)),0)</f>
        <v>0</v>
      </c>
      <c r="M68" s="28">
        <f t="shared" ca="1" si="9"/>
        <v>0</v>
      </c>
      <c r="N68" s="28">
        <f t="shared" ca="1" si="11"/>
        <v>0</v>
      </c>
      <c r="O68" s="34"/>
      <c r="P68" s="34"/>
      <c r="Q68" s="71" t="str" cm="1">
        <f t="array" ref="Q68">IF(SUMPRODUCT(--(B68:E68&lt;&gt;""))&gt;0,"○","")</f>
        <v/>
      </c>
      <c r="R68" s="35"/>
      <c r="S68" s="35"/>
      <c r="T68" s="35"/>
      <c r="U68" s="66"/>
      <c r="V68" s="29" t="str">
        <f t="shared" si="12"/>
        <v/>
      </c>
      <c r="W68" s="29" t="str">
        <f t="shared" si="13"/>
        <v/>
      </c>
      <c r="X68" s="30" t="str">
        <f t="shared" si="14"/>
        <v/>
      </c>
      <c r="Y68" s="36"/>
      <c r="Z68" s="37"/>
      <c r="AA68" s="37"/>
      <c r="JG68" s="31" t="str">
        <f t="shared" si="15"/>
        <v/>
      </c>
      <c r="JH68" s="31" t="str">
        <f t="shared" si="16"/>
        <v/>
      </c>
    </row>
    <row r="69" spans="1:268" s="31" customFormat="1" x14ac:dyDescent="0.4">
      <c r="A69" s="32"/>
      <c r="B69" s="32"/>
      <c r="C69" s="32"/>
      <c r="D69" s="32"/>
      <c r="E69" s="38"/>
      <c r="F69" s="61"/>
      <c r="G69" s="33"/>
      <c r="H69" s="33"/>
      <c r="I69" s="27" t="str">
        <f t="shared" si="10"/>
        <v/>
      </c>
      <c r="J69" s="33"/>
      <c r="K69" s="28">
        <f t="shared" ref="K69:K132" si="17">IF($Z69&lt;&gt;"",IF($W69&gt;=$Z69,$W69-$Z69,$X69)*$Y69,0)</f>
        <v>0</v>
      </c>
      <c r="L69" s="28">
        <f>IF(AND($Y69&lt;&gt;"",$X69&lt;&gt;""),MAX(0,ROUND(($X69*$Y69),0)-NETWORKDAYS.INTL($V69,基準日,1)),0)</f>
        <v>0</v>
      </c>
      <c r="M69" s="28">
        <f t="shared" ref="M69:M132" ca="1" si="18">IF(AND(IFERROR(VALUE($X69),0),$Z69="",$V69&lt;基準日),基準日-$V69,0)</f>
        <v>0</v>
      </c>
      <c r="N69" s="28">
        <f t="shared" ca="1" si="11"/>
        <v>0</v>
      </c>
      <c r="O69" s="34"/>
      <c r="P69" s="34"/>
      <c r="Q69" s="71" t="str" cm="1">
        <f t="array" ref="Q69">IF(SUMPRODUCT(--(B69:E69&lt;&gt;""))&gt;0,"○","")</f>
        <v/>
      </c>
      <c r="R69" s="35"/>
      <c r="S69" s="35"/>
      <c r="T69" s="35"/>
      <c r="U69" s="66"/>
      <c r="V69" s="29" t="str">
        <f t="shared" si="12"/>
        <v/>
      </c>
      <c r="W69" s="29" t="str">
        <f t="shared" si="13"/>
        <v/>
      </c>
      <c r="X69" s="30" t="str">
        <f t="shared" si="14"/>
        <v/>
      </c>
      <c r="Y69" s="36"/>
      <c r="Z69" s="37"/>
      <c r="AA69" s="37"/>
      <c r="JG69" s="31" t="str">
        <f t="shared" si="15"/>
        <v/>
      </c>
      <c r="JH69" s="31" t="str">
        <f t="shared" si="16"/>
        <v/>
      </c>
    </row>
    <row r="70" spans="1:268" s="31" customFormat="1" x14ac:dyDescent="0.4">
      <c r="A70" s="32"/>
      <c r="B70" s="32"/>
      <c r="C70" s="32"/>
      <c r="D70" s="32"/>
      <c r="E70" s="38"/>
      <c r="F70" s="61"/>
      <c r="G70" s="33"/>
      <c r="H70" s="33"/>
      <c r="I70" s="27" t="str">
        <f t="shared" ref="I70:I133" si="19">IF(ISBLANK(G70),"","○")</f>
        <v/>
      </c>
      <c r="J70" s="33"/>
      <c r="K70" s="28">
        <f t="shared" si="17"/>
        <v>0</v>
      </c>
      <c r="L70" s="28">
        <f>IF(AND($Y70&lt;&gt;"",$X70&lt;&gt;""),MAX(0,ROUND(($X70*$Y70),0)-NETWORKDAYS.INTL($V70,基準日,1)),0)</f>
        <v>0</v>
      </c>
      <c r="M70" s="28">
        <f t="shared" ca="1" si="18"/>
        <v>0</v>
      </c>
      <c r="N70" s="28">
        <f t="shared" ref="N70:N133" ca="1" si="20">MAX(L70:M70)</f>
        <v>0</v>
      </c>
      <c r="O70" s="34"/>
      <c r="P70" s="34"/>
      <c r="Q70" s="71" t="str" cm="1">
        <f t="array" ref="Q70">IF(SUMPRODUCT(--(B70:E70&lt;&gt;""))&gt;0,"○","")</f>
        <v/>
      </c>
      <c r="R70" s="35"/>
      <c r="S70" s="35"/>
      <c r="T70" s="35"/>
      <c r="U70" s="66"/>
      <c r="V70" s="29" t="str">
        <f t="shared" ref="V70:V133" si="21">IF(NOT(ISBLANK(S70)),S70,IF(AND(NOT(ISBLANK(T70)),NOT(ISBLANK(U70))),IF(NOT(JH70),T70-U70+1,WORKDAY.INTL(T70,-U70+1,1)),""))</f>
        <v/>
      </c>
      <c r="W70" s="29" t="str">
        <f t="shared" ref="W70:W133" si="22">IF(NOT(ISBLANK(T70)),T70,IF(AND(NOT(ISBLANK(S70)),NOT(ISBLANK(U70))),IF(NOT(JG70),S70+U70-1,WORKDAY.INTL(S70,U70-1,1)),""))</f>
        <v/>
      </c>
      <c r="X70" s="30" t="str">
        <f t="shared" ref="X70:X133" si="23">IF(NOT(ISBLANK(U70)),U70,IF(AND(NOT(ISBLANK(S70)),NOT(ISBLANK(T70))),IF(S70&lt;=T70,IF(OR(NOT(JG70),NOT(JH70)),T70-S70+1,NETWORKDAYS.INTL(S70,T70,1)),0),""))</f>
        <v/>
      </c>
      <c r="Y70" s="36"/>
      <c r="Z70" s="37"/>
      <c r="AA70" s="37"/>
      <c r="JG70" s="31" t="str">
        <f t="shared" ref="JG70:JG133" si="24">IF(ISBLANK(S70),"",IF(OR(WEEKDAY(S70,2)=6,WEEKDAY(S70,2)=7),FALSE,TRUE))</f>
        <v/>
      </c>
      <c r="JH70" s="31" t="str">
        <f t="shared" ref="JH70:JH133" si="25">IF(ISBLANK(T70),"",IF(OR(WEEKDAY(T70,2)=6,WEEKDAY(T70,2)=7),FALSE,TRUE))</f>
        <v/>
      </c>
    </row>
    <row r="71" spans="1:268" s="31" customFormat="1" x14ac:dyDescent="0.4">
      <c r="A71" s="32"/>
      <c r="B71" s="32"/>
      <c r="C71" s="32"/>
      <c r="D71" s="32"/>
      <c r="E71" s="38"/>
      <c r="F71" s="61"/>
      <c r="G71" s="33"/>
      <c r="H71" s="33"/>
      <c r="I71" s="27" t="str">
        <f t="shared" si="19"/>
        <v/>
      </c>
      <c r="J71" s="33"/>
      <c r="K71" s="28">
        <f t="shared" si="17"/>
        <v>0</v>
      </c>
      <c r="L71" s="28">
        <f>IF(AND($Y71&lt;&gt;"",$X71&lt;&gt;""),MAX(0,ROUND(($X71*$Y71),0)-NETWORKDAYS.INTL($V71,基準日,1)),0)</f>
        <v>0</v>
      </c>
      <c r="M71" s="28">
        <f t="shared" ca="1" si="18"/>
        <v>0</v>
      </c>
      <c r="N71" s="28">
        <f t="shared" ca="1" si="20"/>
        <v>0</v>
      </c>
      <c r="O71" s="34"/>
      <c r="P71" s="34"/>
      <c r="Q71" s="71" t="str" cm="1">
        <f t="array" ref="Q71">IF(SUMPRODUCT(--(B71:E71&lt;&gt;""))&gt;0,"○","")</f>
        <v/>
      </c>
      <c r="R71" s="35"/>
      <c r="S71" s="35"/>
      <c r="T71" s="35"/>
      <c r="U71" s="66"/>
      <c r="V71" s="29" t="str">
        <f t="shared" si="21"/>
        <v/>
      </c>
      <c r="W71" s="29" t="str">
        <f t="shared" si="22"/>
        <v/>
      </c>
      <c r="X71" s="30" t="str">
        <f t="shared" si="23"/>
        <v/>
      </c>
      <c r="Y71" s="36"/>
      <c r="Z71" s="37"/>
      <c r="AA71" s="37"/>
      <c r="JG71" s="31" t="str">
        <f t="shared" si="24"/>
        <v/>
      </c>
      <c r="JH71" s="31" t="str">
        <f t="shared" si="25"/>
        <v/>
      </c>
    </row>
    <row r="72" spans="1:268" s="31" customFormat="1" x14ac:dyDescent="0.4">
      <c r="A72" s="32"/>
      <c r="B72" s="32"/>
      <c r="C72" s="32"/>
      <c r="D72" s="32"/>
      <c r="E72" s="38"/>
      <c r="F72" s="61"/>
      <c r="G72" s="33"/>
      <c r="H72" s="33"/>
      <c r="I72" s="27" t="str">
        <f t="shared" si="19"/>
        <v/>
      </c>
      <c r="J72" s="33"/>
      <c r="K72" s="28">
        <f t="shared" si="17"/>
        <v>0</v>
      </c>
      <c r="L72" s="28">
        <f>IF(AND($Y72&lt;&gt;"",$X72&lt;&gt;""),MAX(0,ROUND(($X72*$Y72),0)-NETWORKDAYS.INTL($V72,基準日,1)),0)</f>
        <v>0</v>
      </c>
      <c r="M72" s="28">
        <f t="shared" ca="1" si="18"/>
        <v>0</v>
      </c>
      <c r="N72" s="28">
        <f t="shared" ca="1" si="20"/>
        <v>0</v>
      </c>
      <c r="O72" s="34"/>
      <c r="P72" s="34"/>
      <c r="Q72" s="71" t="str" cm="1">
        <f t="array" ref="Q72">IF(SUMPRODUCT(--(B72:E72&lt;&gt;""))&gt;0,"○","")</f>
        <v/>
      </c>
      <c r="R72" s="35"/>
      <c r="S72" s="35"/>
      <c r="T72" s="35"/>
      <c r="U72" s="66"/>
      <c r="V72" s="29" t="str">
        <f t="shared" si="21"/>
        <v/>
      </c>
      <c r="W72" s="29" t="str">
        <f t="shared" si="22"/>
        <v/>
      </c>
      <c r="X72" s="30" t="str">
        <f t="shared" si="23"/>
        <v/>
      </c>
      <c r="Y72" s="36"/>
      <c r="Z72" s="37"/>
      <c r="AA72" s="37"/>
      <c r="JG72" s="31" t="str">
        <f t="shared" si="24"/>
        <v/>
      </c>
      <c r="JH72" s="31" t="str">
        <f t="shared" si="25"/>
        <v/>
      </c>
    </row>
    <row r="73" spans="1:268" s="31" customFormat="1" x14ac:dyDescent="0.4">
      <c r="A73" s="32"/>
      <c r="B73" s="32"/>
      <c r="C73" s="32"/>
      <c r="D73" s="32"/>
      <c r="E73" s="38"/>
      <c r="F73" s="61"/>
      <c r="G73" s="33"/>
      <c r="H73" s="33"/>
      <c r="I73" s="27" t="str">
        <f t="shared" si="19"/>
        <v/>
      </c>
      <c r="J73" s="33"/>
      <c r="K73" s="28">
        <f t="shared" si="17"/>
        <v>0</v>
      </c>
      <c r="L73" s="28">
        <f>IF(AND($Y73&lt;&gt;"",$X73&lt;&gt;""),MAX(0,ROUND(($X73*$Y73),0)-NETWORKDAYS.INTL($V73,基準日,1)),0)</f>
        <v>0</v>
      </c>
      <c r="M73" s="28">
        <f t="shared" ca="1" si="18"/>
        <v>0</v>
      </c>
      <c r="N73" s="28">
        <f t="shared" ca="1" si="20"/>
        <v>0</v>
      </c>
      <c r="O73" s="34"/>
      <c r="P73" s="34"/>
      <c r="Q73" s="71" t="str" cm="1">
        <f t="array" ref="Q73">IF(SUMPRODUCT(--(B73:E73&lt;&gt;""))&gt;0,"○","")</f>
        <v/>
      </c>
      <c r="R73" s="35"/>
      <c r="S73" s="35"/>
      <c r="T73" s="35"/>
      <c r="U73" s="66"/>
      <c r="V73" s="29" t="str">
        <f t="shared" si="21"/>
        <v/>
      </c>
      <c r="W73" s="29" t="str">
        <f t="shared" si="22"/>
        <v/>
      </c>
      <c r="X73" s="30" t="str">
        <f t="shared" si="23"/>
        <v/>
      </c>
      <c r="Y73" s="36"/>
      <c r="Z73" s="37"/>
      <c r="AA73" s="37"/>
      <c r="JG73" s="31" t="str">
        <f t="shared" si="24"/>
        <v/>
      </c>
      <c r="JH73" s="31" t="str">
        <f t="shared" si="25"/>
        <v/>
      </c>
    </row>
    <row r="74" spans="1:268" s="31" customFormat="1" x14ac:dyDescent="0.4">
      <c r="A74" s="32"/>
      <c r="B74" s="32"/>
      <c r="C74" s="32"/>
      <c r="D74" s="32"/>
      <c r="E74" s="38"/>
      <c r="F74" s="61"/>
      <c r="G74" s="33"/>
      <c r="H74" s="33"/>
      <c r="I74" s="27" t="str">
        <f t="shared" si="19"/>
        <v/>
      </c>
      <c r="J74" s="33"/>
      <c r="K74" s="28">
        <f t="shared" si="17"/>
        <v>0</v>
      </c>
      <c r="L74" s="28">
        <f>IF(AND($Y74&lt;&gt;"",$X74&lt;&gt;""),MAX(0,ROUND(($X74*$Y74),0)-NETWORKDAYS.INTL($V74,基準日,1)),0)</f>
        <v>0</v>
      </c>
      <c r="M74" s="28">
        <f t="shared" ca="1" si="18"/>
        <v>0</v>
      </c>
      <c r="N74" s="28">
        <f t="shared" ca="1" si="20"/>
        <v>0</v>
      </c>
      <c r="O74" s="34"/>
      <c r="P74" s="34"/>
      <c r="Q74" s="71" t="str" cm="1">
        <f t="array" ref="Q74">IF(SUMPRODUCT(--(B74:E74&lt;&gt;""))&gt;0,"○","")</f>
        <v/>
      </c>
      <c r="R74" s="35"/>
      <c r="S74" s="35"/>
      <c r="T74" s="35"/>
      <c r="U74" s="66"/>
      <c r="V74" s="29" t="str">
        <f t="shared" si="21"/>
        <v/>
      </c>
      <c r="W74" s="29" t="str">
        <f t="shared" si="22"/>
        <v/>
      </c>
      <c r="X74" s="30" t="str">
        <f t="shared" si="23"/>
        <v/>
      </c>
      <c r="Y74" s="36"/>
      <c r="Z74" s="37"/>
      <c r="AA74" s="37"/>
      <c r="JG74" s="31" t="str">
        <f t="shared" si="24"/>
        <v/>
      </c>
      <c r="JH74" s="31" t="str">
        <f t="shared" si="25"/>
        <v/>
      </c>
    </row>
    <row r="75" spans="1:268" s="31" customFormat="1" x14ac:dyDescent="0.4">
      <c r="A75" s="32"/>
      <c r="B75" s="32"/>
      <c r="C75" s="32"/>
      <c r="D75" s="32"/>
      <c r="E75" s="38"/>
      <c r="F75" s="61"/>
      <c r="G75" s="33"/>
      <c r="H75" s="33"/>
      <c r="I75" s="27" t="str">
        <f t="shared" si="19"/>
        <v/>
      </c>
      <c r="J75" s="33"/>
      <c r="K75" s="28">
        <f t="shared" si="17"/>
        <v>0</v>
      </c>
      <c r="L75" s="28">
        <f>IF(AND($Y75&lt;&gt;"",$X75&lt;&gt;""),MAX(0,ROUND(($X75*$Y75),0)-NETWORKDAYS.INTL($V75,基準日,1)),0)</f>
        <v>0</v>
      </c>
      <c r="M75" s="28">
        <f t="shared" ca="1" si="18"/>
        <v>0</v>
      </c>
      <c r="N75" s="28">
        <f t="shared" ca="1" si="20"/>
        <v>0</v>
      </c>
      <c r="O75" s="34"/>
      <c r="P75" s="34"/>
      <c r="Q75" s="71" t="str" cm="1">
        <f t="array" ref="Q75">IF(SUMPRODUCT(--(B75:E75&lt;&gt;""))&gt;0,"○","")</f>
        <v/>
      </c>
      <c r="R75" s="35"/>
      <c r="S75" s="35"/>
      <c r="T75" s="35"/>
      <c r="U75" s="66"/>
      <c r="V75" s="29" t="str">
        <f t="shared" si="21"/>
        <v/>
      </c>
      <c r="W75" s="29" t="str">
        <f t="shared" si="22"/>
        <v/>
      </c>
      <c r="X75" s="30" t="str">
        <f t="shared" si="23"/>
        <v/>
      </c>
      <c r="Y75" s="36"/>
      <c r="Z75" s="37"/>
      <c r="AA75" s="37"/>
      <c r="JG75" s="31" t="str">
        <f t="shared" si="24"/>
        <v/>
      </c>
      <c r="JH75" s="31" t="str">
        <f t="shared" si="25"/>
        <v/>
      </c>
    </row>
    <row r="76" spans="1:268" s="31" customFormat="1" x14ac:dyDescent="0.4">
      <c r="A76" s="32"/>
      <c r="B76" s="32"/>
      <c r="C76" s="32"/>
      <c r="D76" s="32"/>
      <c r="E76" s="38"/>
      <c r="F76" s="61"/>
      <c r="G76" s="33"/>
      <c r="H76" s="33"/>
      <c r="I76" s="27" t="str">
        <f t="shared" si="19"/>
        <v/>
      </c>
      <c r="J76" s="33"/>
      <c r="K76" s="28">
        <f t="shared" si="17"/>
        <v>0</v>
      </c>
      <c r="L76" s="28">
        <f>IF(AND($Y76&lt;&gt;"",$X76&lt;&gt;""),MAX(0,ROUND(($X76*$Y76),0)-NETWORKDAYS.INTL($V76,基準日,1)),0)</f>
        <v>0</v>
      </c>
      <c r="M76" s="28">
        <f t="shared" ca="1" si="18"/>
        <v>0</v>
      </c>
      <c r="N76" s="28">
        <f t="shared" ca="1" si="20"/>
        <v>0</v>
      </c>
      <c r="O76" s="34"/>
      <c r="P76" s="34"/>
      <c r="Q76" s="71" t="str" cm="1">
        <f t="array" ref="Q76">IF(SUMPRODUCT(--(B76:E76&lt;&gt;""))&gt;0,"○","")</f>
        <v/>
      </c>
      <c r="R76" s="35"/>
      <c r="S76" s="35"/>
      <c r="T76" s="35"/>
      <c r="U76" s="66"/>
      <c r="V76" s="29" t="str">
        <f t="shared" si="21"/>
        <v/>
      </c>
      <c r="W76" s="29" t="str">
        <f t="shared" si="22"/>
        <v/>
      </c>
      <c r="X76" s="30" t="str">
        <f t="shared" si="23"/>
        <v/>
      </c>
      <c r="Y76" s="36"/>
      <c r="Z76" s="37"/>
      <c r="AA76" s="37"/>
      <c r="JG76" s="31" t="str">
        <f t="shared" si="24"/>
        <v/>
      </c>
      <c r="JH76" s="31" t="str">
        <f t="shared" si="25"/>
        <v/>
      </c>
    </row>
    <row r="77" spans="1:268" s="31" customFormat="1" x14ac:dyDescent="0.4">
      <c r="A77" s="32"/>
      <c r="B77" s="32"/>
      <c r="C77" s="32"/>
      <c r="D77" s="32"/>
      <c r="E77" s="38"/>
      <c r="F77" s="61"/>
      <c r="G77" s="33"/>
      <c r="H77" s="33"/>
      <c r="I77" s="27" t="str">
        <f t="shared" si="19"/>
        <v/>
      </c>
      <c r="J77" s="33"/>
      <c r="K77" s="28">
        <f t="shared" si="17"/>
        <v>0</v>
      </c>
      <c r="L77" s="28">
        <f>IF(AND($Y77&lt;&gt;"",$X77&lt;&gt;""),MAX(0,ROUND(($X77*$Y77),0)-NETWORKDAYS.INTL($V77,基準日,1)),0)</f>
        <v>0</v>
      </c>
      <c r="M77" s="28">
        <f t="shared" ca="1" si="18"/>
        <v>0</v>
      </c>
      <c r="N77" s="28">
        <f t="shared" ca="1" si="20"/>
        <v>0</v>
      </c>
      <c r="O77" s="34"/>
      <c r="P77" s="34"/>
      <c r="Q77" s="71" t="str" cm="1">
        <f t="array" ref="Q77">IF(SUMPRODUCT(--(B77:E77&lt;&gt;""))&gt;0,"○","")</f>
        <v/>
      </c>
      <c r="R77" s="35"/>
      <c r="S77" s="35"/>
      <c r="T77" s="35"/>
      <c r="U77" s="66"/>
      <c r="V77" s="29" t="str">
        <f t="shared" si="21"/>
        <v/>
      </c>
      <c r="W77" s="29" t="str">
        <f t="shared" si="22"/>
        <v/>
      </c>
      <c r="X77" s="30" t="str">
        <f t="shared" si="23"/>
        <v/>
      </c>
      <c r="Y77" s="36"/>
      <c r="Z77" s="37"/>
      <c r="AA77" s="37"/>
      <c r="JG77" s="31" t="str">
        <f t="shared" si="24"/>
        <v/>
      </c>
      <c r="JH77" s="31" t="str">
        <f t="shared" si="25"/>
        <v/>
      </c>
    </row>
    <row r="78" spans="1:268" s="31" customFormat="1" x14ac:dyDescent="0.4">
      <c r="A78" s="32"/>
      <c r="B78" s="32"/>
      <c r="C78" s="32"/>
      <c r="D78" s="32"/>
      <c r="E78" s="38"/>
      <c r="F78" s="61"/>
      <c r="G78" s="33"/>
      <c r="H78" s="33"/>
      <c r="I78" s="27" t="str">
        <f t="shared" si="19"/>
        <v/>
      </c>
      <c r="J78" s="33"/>
      <c r="K78" s="28">
        <f t="shared" si="17"/>
        <v>0</v>
      </c>
      <c r="L78" s="28">
        <f>IF(AND($Y78&lt;&gt;"",$X78&lt;&gt;""),MAX(0,ROUND(($X78*$Y78),0)-NETWORKDAYS.INTL($V78,基準日,1)),0)</f>
        <v>0</v>
      </c>
      <c r="M78" s="28">
        <f t="shared" ca="1" si="18"/>
        <v>0</v>
      </c>
      <c r="N78" s="28">
        <f t="shared" ca="1" si="20"/>
        <v>0</v>
      </c>
      <c r="O78" s="34"/>
      <c r="P78" s="34"/>
      <c r="Q78" s="71" t="str" cm="1">
        <f t="array" ref="Q78">IF(SUMPRODUCT(--(B78:E78&lt;&gt;""))&gt;0,"○","")</f>
        <v/>
      </c>
      <c r="R78" s="35"/>
      <c r="S78" s="35"/>
      <c r="T78" s="35"/>
      <c r="U78" s="66"/>
      <c r="V78" s="29" t="str">
        <f t="shared" si="21"/>
        <v/>
      </c>
      <c r="W78" s="29" t="str">
        <f t="shared" si="22"/>
        <v/>
      </c>
      <c r="X78" s="30" t="str">
        <f t="shared" si="23"/>
        <v/>
      </c>
      <c r="Y78" s="36"/>
      <c r="Z78" s="37"/>
      <c r="AA78" s="37"/>
      <c r="JG78" s="31" t="str">
        <f t="shared" si="24"/>
        <v/>
      </c>
      <c r="JH78" s="31" t="str">
        <f t="shared" si="25"/>
        <v/>
      </c>
    </row>
    <row r="79" spans="1:268" s="31" customFormat="1" x14ac:dyDescent="0.4">
      <c r="A79" s="32"/>
      <c r="B79" s="32"/>
      <c r="C79" s="32"/>
      <c r="D79" s="32"/>
      <c r="E79" s="38"/>
      <c r="F79" s="61"/>
      <c r="G79" s="33"/>
      <c r="H79" s="33"/>
      <c r="I79" s="27" t="str">
        <f t="shared" si="19"/>
        <v/>
      </c>
      <c r="J79" s="33"/>
      <c r="K79" s="28">
        <f t="shared" si="17"/>
        <v>0</v>
      </c>
      <c r="L79" s="28">
        <f>IF(AND($Y79&lt;&gt;"",$X79&lt;&gt;""),MAX(0,ROUND(($X79*$Y79),0)-NETWORKDAYS.INTL($V79,基準日,1)),0)</f>
        <v>0</v>
      </c>
      <c r="M79" s="28">
        <f t="shared" ca="1" si="18"/>
        <v>0</v>
      </c>
      <c r="N79" s="28">
        <f t="shared" ca="1" si="20"/>
        <v>0</v>
      </c>
      <c r="O79" s="34"/>
      <c r="P79" s="34"/>
      <c r="Q79" s="71" t="str" cm="1">
        <f t="array" ref="Q79">IF(SUMPRODUCT(--(B79:E79&lt;&gt;""))&gt;0,"○","")</f>
        <v/>
      </c>
      <c r="R79" s="35"/>
      <c r="S79" s="35"/>
      <c r="T79" s="35"/>
      <c r="U79" s="66"/>
      <c r="V79" s="29" t="str">
        <f t="shared" si="21"/>
        <v/>
      </c>
      <c r="W79" s="29" t="str">
        <f t="shared" si="22"/>
        <v/>
      </c>
      <c r="X79" s="30" t="str">
        <f t="shared" si="23"/>
        <v/>
      </c>
      <c r="Y79" s="36"/>
      <c r="Z79" s="37"/>
      <c r="AA79" s="37"/>
      <c r="JG79" s="31" t="str">
        <f t="shared" si="24"/>
        <v/>
      </c>
      <c r="JH79" s="31" t="str">
        <f t="shared" si="25"/>
        <v/>
      </c>
    </row>
    <row r="80" spans="1:268" s="31" customFormat="1" x14ac:dyDescent="0.4">
      <c r="A80" s="32"/>
      <c r="B80" s="32"/>
      <c r="C80" s="32"/>
      <c r="D80" s="32"/>
      <c r="E80" s="38"/>
      <c r="F80" s="61"/>
      <c r="G80" s="33"/>
      <c r="H80" s="33"/>
      <c r="I80" s="27" t="str">
        <f t="shared" si="19"/>
        <v/>
      </c>
      <c r="J80" s="33"/>
      <c r="K80" s="28">
        <f t="shared" si="17"/>
        <v>0</v>
      </c>
      <c r="L80" s="28">
        <f>IF(AND($Y80&lt;&gt;"",$X80&lt;&gt;""),MAX(0,ROUND(($X80*$Y80),0)-NETWORKDAYS.INTL($V80,基準日,1)),0)</f>
        <v>0</v>
      </c>
      <c r="M80" s="28">
        <f t="shared" ca="1" si="18"/>
        <v>0</v>
      </c>
      <c r="N80" s="28">
        <f t="shared" ca="1" si="20"/>
        <v>0</v>
      </c>
      <c r="O80" s="34"/>
      <c r="P80" s="34"/>
      <c r="Q80" s="71" t="str" cm="1">
        <f t="array" ref="Q80">IF(SUMPRODUCT(--(B80:E80&lt;&gt;""))&gt;0,"○","")</f>
        <v/>
      </c>
      <c r="R80" s="35"/>
      <c r="S80" s="35"/>
      <c r="T80" s="35"/>
      <c r="U80" s="66"/>
      <c r="V80" s="29" t="str">
        <f t="shared" si="21"/>
        <v/>
      </c>
      <c r="W80" s="29" t="str">
        <f t="shared" si="22"/>
        <v/>
      </c>
      <c r="X80" s="30" t="str">
        <f t="shared" si="23"/>
        <v/>
      </c>
      <c r="Y80" s="36"/>
      <c r="Z80" s="37"/>
      <c r="AA80" s="37"/>
      <c r="JG80" s="31" t="str">
        <f t="shared" si="24"/>
        <v/>
      </c>
      <c r="JH80" s="31" t="str">
        <f t="shared" si="25"/>
        <v/>
      </c>
    </row>
    <row r="81" spans="1:268" s="31" customFormat="1" x14ac:dyDescent="0.4">
      <c r="A81" s="32"/>
      <c r="B81" s="32"/>
      <c r="C81" s="32"/>
      <c r="D81" s="32"/>
      <c r="E81" s="38"/>
      <c r="F81" s="61"/>
      <c r="G81" s="33"/>
      <c r="H81" s="33"/>
      <c r="I81" s="27" t="str">
        <f t="shared" si="19"/>
        <v/>
      </c>
      <c r="J81" s="33"/>
      <c r="K81" s="28">
        <f t="shared" si="17"/>
        <v>0</v>
      </c>
      <c r="L81" s="28">
        <f>IF(AND($Y81&lt;&gt;"",$X81&lt;&gt;""),MAX(0,ROUND(($X81*$Y81),0)-NETWORKDAYS.INTL($V81,基準日,1)),0)</f>
        <v>0</v>
      </c>
      <c r="M81" s="28">
        <f t="shared" ca="1" si="18"/>
        <v>0</v>
      </c>
      <c r="N81" s="28">
        <f t="shared" ca="1" si="20"/>
        <v>0</v>
      </c>
      <c r="O81" s="34"/>
      <c r="P81" s="34"/>
      <c r="Q81" s="71" t="str" cm="1">
        <f t="array" ref="Q81">IF(SUMPRODUCT(--(B81:E81&lt;&gt;""))&gt;0,"○","")</f>
        <v/>
      </c>
      <c r="R81" s="35"/>
      <c r="S81" s="35"/>
      <c r="T81" s="35"/>
      <c r="U81" s="66"/>
      <c r="V81" s="29" t="str">
        <f t="shared" si="21"/>
        <v/>
      </c>
      <c r="W81" s="29" t="str">
        <f t="shared" si="22"/>
        <v/>
      </c>
      <c r="X81" s="30" t="str">
        <f t="shared" si="23"/>
        <v/>
      </c>
      <c r="Y81" s="36"/>
      <c r="Z81" s="37"/>
      <c r="AA81" s="37"/>
      <c r="JG81" s="31" t="str">
        <f t="shared" si="24"/>
        <v/>
      </c>
      <c r="JH81" s="31" t="str">
        <f t="shared" si="25"/>
        <v/>
      </c>
    </row>
    <row r="82" spans="1:268" s="31" customFormat="1" x14ac:dyDescent="0.4">
      <c r="A82" s="32"/>
      <c r="B82" s="32"/>
      <c r="C82" s="32"/>
      <c r="D82" s="32"/>
      <c r="E82" s="38"/>
      <c r="F82" s="61"/>
      <c r="G82" s="33"/>
      <c r="H82" s="33"/>
      <c r="I82" s="27" t="str">
        <f t="shared" si="19"/>
        <v/>
      </c>
      <c r="J82" s="33"/>
      <c r="K82" s="28">
        <f t="shared" si="17"/>
        <v>0</v>
      </c>
      <c r="L82" s="28">
        <f>IF(AND($Y82&lt;&gt;"",$X82&lt;&gt;""),MAX(0,ROUND(($X82*$Y82),0)-NETWORKDAYS.INTL($V82,基準日,1)),0)</f>
        <v>0</v>
      </c>
      <c r="M82" s="28">
        <f t="shared" ca="1" si="18"/>
        <v>0</v>
      </c>
      <c r="N82" s="28">
        <f t="shared" ca="1" si="20"/>
        <v>0</v>
      </c>
      <c r="O82" s="34"/>
      <c r="P82" s="34"/>
      <c r="Q82" s="71" t="str" cm="1">
        <f t="array" ref="Q82">IF(SUMPRODUCT(--(B82:E82&lt;&gt;""))&gt;0,"○","")</f>
        <v/>
      </c>
      <c r="R82" s="35"/>
      <c r="S82" s="35"/>
      <c r="T82" s="35"/>
      <c r="U82" s="66"/>
      <c r="V82" s="29" t="str">
        <f t="shared" si="21"/>
        <v/>
      </c>
      <c r="W82" s="29" t="str">
        <f t="shared" si="22"/>
        <v/>
      </c>
      <c r="X82" s="30" t="str">
        <f t="shared" si="23"/>
        <v/>
      </c>
      <c r="Y82" s="36"/>
      <c r="Z82" s="37"/>
      <c r="AA82" s="37"/>
      <c r="JG82" s="31" t="str">
        <f t="shared" si="24"/>
        <v/>
      </c>
      <c r="JH82" s="31" t="str">
        <f t="shared" si="25"/>
        <v/>
      </c>
    </row>
    <row r="83" spans="1:268" s="31" customFormat="1" x14ac:dyDescent="0.4">
      <c r="A83" s="32"/>
      <c r="B83" s="32"/>
      <c r="C83" s="32"/>
      <c r="D83" s="32"/>
      <c r="E83" s="38"/>
      <c r="F83" s="61"/>
      <c r="G83" s="33"/>
      <c r="H83" s="33"/>
      <c r="I83" s="27" t="str">
        <f t="shared" si="19"/>
        <v/>
      </c>
      <c r="J83" s="33"/>
      <c r="K83" s="28">
        <f t="shared" si="17"/>
        <v>0</v>
      </c>
      <c r="L83" s="28">
        <f>IF(AND($Y83&lt;&gt;"",$X83&lt;&gt;""),MAX(0,ROUND(($X83*$Y83),0)-NETWORKDAYS.INTL($V83,基準日,1)),0)</f>
        <v>0</v>
      </c>
      <c r="M83" s="28">
        <f t="shared" ca="1" si="18"/>
        <v>0</v>
      </c>
      <c r="N83" s="28">
        <f t="shared" ca="1" si="20"/>
        <v>0</v>
      </c>
      <c r="O83" s="34"/>
      <c r="P83" s="34"/>
      <c r="Q83" s="71" t="str" cm="1">
        <f t="array" ref="Q83">IF(SUMPRODUCT(--(B83:E83&lt;&gt;""))&gt;0,"○","")</f>
        <v/>
      </c>
      <c r="R83" s="35"/>
      <c r="S83" s="35"/>
      <c r="T83" s="35"/>
      <c r="U83" s="66"/>
      <c r="V83" s="29" t="str">
        <f t="shared" si="21"/>
        <v/>
      </c>
      <c r="W83" s="29" t="str">
        <f t="shared" si="22"/>
        <v/>
      </c>
      <c r="X83" s="30" t="str">
        <f t="shared" si="23"/>
        <v/>
      </c>
      <c r="Y83" s="36"/>
      <c r="Z83" s="37"/>
      <c r="AA83" s="37"/>
      <c r="JG83" s="31" t="str">
        <f t="shared" si="24"/>
        <v/>
      </c>
      <c r="JH83" s="31" t="str">
        <f t="shared" si="25"/>
        <v/>
      </c>
    </row>
    <row r="84" spans="1:268" s="31" customFormat="1" x14ac:dyDescent="0.4">
      <c r="A84" s="32"/>
      <c r="B84" s="32"/>
      <c r="C84" s="32"/>
      <c r="D84" s="32"/>
      <c r="E84" s="38"/>
      <c r="F84" s="61"/>
      <c r="G84" s="33"/>
      <c r="H84" s="33"/>
      <c r="I84" s="27" t="str">
        <f t="shared" si="19"/>
        <v/>
      </c>
      <c r="J84" s="33"/>
      <c r="K84" s="28">
        <f t="shared" si="17"/>
        <v>0</v>
      </c>
      <c r="L84" s="28">
        <f>IF(AND($Y84&lt;&gt;"",$X84&lt;&gt;""),MAX(0,ROUND(($X84*$Y84),0)-NETWORKDAYS.INTL($V84,基準日,1)),0)</f>
        <v>0</v>
      </c>
      <c r="M84" s="28">
        <f t="shared" ca="1" si="18"/>
        <v>0</v>
      </c>
      <c r="N84" s="28">
        <f t="shared" ca="1" si="20"/>
        <v>0</v>
      </c>
      <c r="O84" s="34"/>
      <c r="P84" s="34"/>
      <c r="Q84" s="71" t="str" cm="1">
        <f t="array" ref="Q84">IF(SUMPRODUCT(--(B84:E84&lt;&gt;""))&gt;0,"○","")</f>
        <v/>
      </c>
      <c r="R84" s="35"/>
      <c r="S84" s="35"/>
      <c r="T84" s="35"/>
      <c r="U84" s="66"/>
      <c r="V84" s="29" t="str">
        <f t="shared" si="21"/>
        <v/>
      </c>
      <c r="W84" s="29" t="str">
        <f t="shared" si="22"/>
        <v/>
      </c>
      <c r="X84" s="30" t="str">
        <f t="shared" si="23"/>
        <v/>
      </c>
      <c r="Y84" s="36"/>
      <c r="Z84" s="37"/>
      <c r="AA84" s="37"/>
      <c r="JG84" s="31" t="str">
        <f t="shared" si="24"/>
        <v/>
      </c>
      <c r="JH84" s="31" t="str">
        <f t="shared" si="25"/>
        <v/>
      </c>
    </row>
    <row r="85" spans="1:268" s="31" customFormat="1" x14ac:dyDescent="0.4">
      <c r="A85" s="32"/>
      <c r="B85" s="32"/>
      <c r="C85" s="32"/>
      <c r="D85" s="32"/>
      <c r="E85" s="38"/>
      <c r="F85" s="61"/>
      <c r="G85" s="33"/>
      <c r="H85" s="33"/>
      <c r="I85" s="27" t="str">
        <f t="shared" si="19"/>
        <v/>
      </c>
      <c r="J85" s="33"/>
      <c r="K85" s="28">
        <f t="shared" si="17"/>
        <v>0</v>
      </c>
      <c r="L85" s="28">
        <f>IF(AND($Y85&lt;&gt;"",$X85&lt;&gt;""),MAX(0,ROUND(($X85*$Y85),0)-NETWORKDAYS.INTL($V85,基準日,1)),0)</f>
        <v>0</v>
      </c>
      <c r="M85" s="28">
        <f t="shared" ca="1" si="18"/>
        <v>0</v>
      </c>
      <c r="N85" s="28">
        <f t="shared" ca="1" si="20"/>
        <v>0</v>
      </c>
      <c r="O85" s="34"/>
      <c r="P85" s="34"/>
      <c r="Q85" s="71" t="str" cm="1">
        <f t="array" ref="Q85">IF(SUMPRODUCT(--(B85:E85&lt;&gt;""))&gt;0,"○","")</f>
        <v/>
      </c>
      <c r="R85" s="35"/>
      <c r="S85" s="35"/>
      <c r="T85" s="35"/>
      <c r="U85" s="66"/>
      <c r="V85" s="29" t="str">
        <f t="shared" si="21"/>
        <v/>
      </c>
      <c r="W85" s="29" t="str">
        <f t="shared" si="22"/>
        <v/>
      </c>
      <c r="X85" s="30" t="str">
        <f t="shared" si="23"/>
        <v/>
      </c>
      <c r="Y85" s="36"/>
      <c r="Z85" s="37"/>
      <c r="AA85" s="37"/>
      <c r="JG85" s="31" t="str">
        <f t="shared" si="24"/>
        <v/>
      </c>
      <c r="JH85" s="31" t="str">
        <f t="shared" si="25"/>
        <v/>
      </c>
    </row>
    <row r="86" spans="1:268" s="31" customFormat="1" x14ac:dyDescent="0.4">
      <c r="A86" s="32"/>
      <c r="B86" s="32"/>
      <c r="C86" s="32"/>
      <c r="D86" s="32"/>
      <c r="E86" s="38"/>
      <c r="F86" s="61"/>
      <c r="G86" s="33"/>
      <c r="H86" s="33"/>
      <c r="I86" s="27" t="str">
        <f t="shared" si="19"/>
        <v/>
      </c>
      <c r="J86" s="33"/>
      <c r="K86" s="28">
        <f t="shared" si="17"/>
        <v>0</v>
      </c>
      <c r="L86" s="28">
        <f>IF(AND($Y86&lt;&gt;"",$X86&lt;&gt;""),MAX(0,ROUND(($X86*$Y86),0)-NETWORKDAYS.INTL($V86,基準日,1)),0)</f>
        <v>0</v>
      </c>
      <c r="M86" s="28">
        <f t="shared" ca="1" si="18"/>
        <v>0</v>
      </c>
      <c r="N86" s="28">
        <f t="shared" ca="1" si="20"/>
        <v>0</v>
      </c>
      <c r="O86" s="34"/>
      <c r="P86" s="34"/>
      <c r="Q86" s="71" t="str" cm="1">
        <f t="array" ref="Q86">IF(SUMPRODUCT(--(B86:E86&lt;&gt;""))&gt;0,"○","")</f>
        <v/>
      </c>
      <c r="R86" s="35"/>
      <c r="S86" s="35"/>
      <c r="T86" s="35"/>
      <c r="U86" s="66"/>
      <c r="V86" s="29" t="str">
        <f t="shared" si="21"/>
        <v/>
      </c>
      <c r="W86" s="29" t="str">
        <f t="shared" si="22"/>
        <v/>
      </c>
      <c r="X86" s="30" t="str">
        <f t="shared" si="23"/>
        <v/>
      </c>
      <c r="Y86" s="36"/>
      <c r="Z86" s="37"/>
      <c r="AA86" s="37"/>
      <c r="JG86" s="31" t="str">
        <f t="shared" si="24"/>
        <v/>
      </c>
      <c r="JH86" s="31" t="str">
        <f t="shared" si="25"/>
        <v/>
      </c>
    </row>
    <row r="87" spans="1:268" s="31" customFormat="1" x14ac:dyDescent="0.4">
      <c r="A87" s="32"/>
      <c r="B87" s="32"/>
      <c r="C87" s="32"/>
      <c r="D87" s="32"/>
      <c r="E87" s="38"/>
      <c r="F87" s="61"/>
      <c r="G87" s="33"/>
      <c r="H87" s="33"/>
      <c r="I87" s="27" t="str">
        <f t="shared" si="19"/>
        <v/>
      </c>
      <c r="J87" s="33"/>
      <c r="K87" s="28">
        <f t="shared" si="17"/>
        <v>0</v>
      </c>
      <c r="L87" s="28">
        <f>IF(AND($Y87&lt;&gt;"",$X87&lt;&gt;""),MAX(0,ROUND(($X87*$Y87),0)-NETWORKDAYS.INTL($V87,基準日,1)),0)</f>
        <v>0</v>
      </c>
      <c r="M87" s="28">
        <f t="shared" ca="1" si="18"/>
        <v>0</v>
      </c>
      <c r="N87" s="28">
        <f t="shared" ca="1" si="20"/>
        <v>0</v>
      </c>
      <c r="O87" s="34"/>
      <c r="P87" s="34"/>
      <c r="Q87" s="71" t="str" cm="1">
        <f t="array" ref="Q87">IF(SUMPRODUCT(--(B87:E87&lt;&gt;""))&gt;0,"○","")</f>
        <v/>
      </c>
      <c r="R87" s="35"/>
      <c r="S87" s="35"/>
      <c r="T87" s="35"/>
      <c r="U87" s="66"/>
      <c r="V87" s="29" t="str">
        <f t="shared" si="21"/>
        <v/>
      </c>
      <c r="W87" s="29" t="str">
        <f t="shared" si="22"/>
        <v/>
      </c>
      <c r="X87" s="30" t="str">
        <f t="shared" si="23"/>
        <v/>
      </c>
      <c r="Y87" s="36"/>
      <c r="Z87" s="37"/>
      <c r="AA87" s="37"/>
      <c r="JG87" s="31" t="str">
        <f t="shared" si="24"/>
        <v/>
      </c>
      <c r="JH87" s="31" t="str">
        <f t="shared" si="25"/>
        <v/>
      </c>
    </row>
    <row r="88" spans="1:268" s="31" customFormat="1" x14ac:dyDescent="0.4">
      <c r="A88" s="32"/>
      <c r="B88" s="32"/>
      <c r="C88" s="32"/>
      <c r="D88" s="32"/>
      <c r="E88" s="38"/>
      <c r="F88" s="61"/>
      <c r="G88" s="33"/>
      <c r="H88" s="33"/>
      <c r="I88" s="27" t="str">
        <f t="shared" si="19"/>
        <v/>
      </c>
      <c r="J88" s="33"/>
      <c r="K88" s="28">
        <f t="shared" si="17"/>
        <v>0</v>
      </c>
      <c r="L88" s="28">
        <f>IF(AND($Y88&lt;&gt;"",$X88&lt;&gt;""),MAX(0,ROUND(($X88*$Y88),0)-NETWORKDAYS.INTL($V88,基準日,1)),0)</f>
        <v>0</v>
      </c>
      <c r="M88" s="28">
        <f t="shared" ca="1" si="18"/>
        <v>0</v>
      </c>
      <c r="N88" s="28">
        <f t="shared" ca="1" si="20"/>
        <v>0</v>
      </c>
      <c r="O88" s="34"/>
      <c r="P88" s="34"/>
      <c r="Q88" s="71" t="str" cm="1">
        <f t="array" ref="Q88">IF(SUMPRODUCT(--(B88:E88&lt;&gt;""))&gt;0,"○","")</f>
        <v/>
      </c>
      <c r="R88" s="35"/>
      <c r="S88" s="35"/>
      <c r="T88" s="35"/>
      <c r="U88" s="66"/>
      <c r="V88" s="29" t="str">
        <f t="shared" si="21"/>
        <v/>
      </c>
      <c r="W88" s="29" t="str">
        <f t="shared" si="22"/>
        <v/>
      </c>
      <c r="X88" s="30" t="str">
        <f t="shared" si="23"/>
        <v/>
      </c>
      <c r="Y88" s="36"/>
      <c r="Z88" s="37"/>
      <c r="AA88" s="37"/>
      <c r="JG88" s="31" t="str">
        <f t="shared" si="24"/>
        <v/>
      </c>
      <c r="JH88" s="31" t="str">
        <f t="shared" si="25"/>
        <v/>
      </c>
    </row>
    <row r="89" spans="1:268" s="31" customFormat="1" x14ac:dyDescent="0.4">
      <c r="A89" s="32"/>
      <c r="B89" s="32"/>
      <c r="C89" s="32"/>
      <c r="D89" s="32"/>
      <c r="E89" s="38"/>
      <c r="F89" s="61"/>
      <c r="G89" s="33"/>
      <c r="H89" s="33"/>
      <c r="I89" s="27" t="str">
        <f t="shared" si="19"/>
        <v/>
      </c>
      <c r="J89" s="33"/>
      <c r="K89" s="28">
        <f t="shared" si="17"/>
        <v>0</v>
      </c>
      <c r="L89" s="28">
        <f>IF(AND($Y89&lt;&gt;"",$X89&lt;&gt;""),MAX(0,ROUND(($X89*$Y89),0)-NETWORKDAYS.INTL($V89,基準日,1)),0)</f>
        <v>0</v>
      </c>
      <c r="M89" s="28">
        <f t="shared" ca="1" si="18"/>
        <v>0</v>
      </c>
      <c r="N89" s="28">
        <f t="shared" ca="1" si="20"/>
        <v>0</v>
      </c>
      <c r="O89" s="34"/>
      <c r="P89" s="34"/>
      <c r="Q89" s="71" t="str" cm="1">
        <f t="array" ref="Q89">IF(SUMPRODUCT(--(B89:E89&lt;&gt;""))&gt;0,"○","")</f>
        <v/>
      </c>
      <c r="R89" s="35"/>
      <c r="S89" s="35"/>
      <c r="T89" s="35"/>
      <c r="U89" s="66"/>
      <c r="V89" s="29" t="str">
        <f t="shared" si="21"/>
        <v/>
      </c>
      <c r="W89" s="29" t="str">
        <f t="shared" si="22"/>
        <v/>
      </c>
      <c r="X89" s="30" t="str">
        <f t="shared" si="23"/>
        <v/>
      </c>
      <c r="Y89" s="36"/>
      <c r="Z89" s="37"/>
      <c r="AA89" s="37"/>
      <c r="JG89" s="31" t="str">
        <f t="shared" si="24"/>
        <v/>
      </c>
      <c r="JH89" s="31" t="str">
        <f t="shared" si="25"/>
        <v/>
      </c>
    </row>
    <row r="90" spans="1:268" s="31" customFormat="1" x14ac:dyDescent="0.4">
      <c r="A90" s="32"/>
      <c r="B90" s="32"/>
      <c r="C90" s="32"/>
      <c r="D90" s="32"/>
      <c r="E90" s="38"/>
      <c r="F90" s="61"/>
      <c r="G90" s="33"/>
      <c r="H90" s="33"/>
      <c r="I90" s="27" t="str">
        <f t="shared" si="19"/>
        <v/>
      </c>
      <c r="J90" s="33"/>
      <c r="K90" s="28">
        <f t="shared" si="17"/>
        <v>0</v>
      </c>
      <c r="L90" s="28">
        <f>IF(AND($Y90&lt;&gt;"",$X90&lt;&gt;""),MAX(0,ROUND(($X90*$Y90),0)-NETWORKDAYS.INTL($V90,基準日,1)),0)</f>
        <v>0</v>
      </c>
      <c r="M90" s="28">
        <f t="shared" ca="1" si="18"/>
        <v>0</v>
      </c>
      <c r="N90" s="28">
        <f t="shared" ca="1" si="20"/>
        <v>0</v>
      </c>
      <c r="O90" s="34"/>
      <c r="P90" s="34"/>
      <c r="Q90" s="71" t="str" cm="1">
        <f t="array" ref="Q90">IF(SUMPRODUCT(--(B90:E90&lt;&gt;""))&gt;0,"○","")</f>
        <v/>
      </c>
      <c r="R90" s="35"/>
      <c r="S90" s="35"/>
      <c r="T90" s="35"/>
      <c r="U90" s="66"/>
      <c r="V90" s="29" t="str">
        <f t="shared" si="21"/>
        <v/>
      </c>
      <c r="W90" s="29" t="str">
        <f t="shared" si="22"/>
        <v/>
      </c>
      <c r="X90" s="30" t="str">
        <f t="shared" si="23"/>
        <v/>
      </c>
      <c r="Y90" s="36"/>
      <c r="Z90" s="37"/>
      <c r="AA90" s="37"/>
      <c r="JG90" s="31" t="str">
        <f t="shared" si="24"/>
        <v/>
      </c>
      <c r="JH90" s="31" t="str">
        <f t="shared" si="25"/>
        <v/>
      </c>
    </row>
    <row r="91" spans="1:268" s="31" customFormat="1" x14ac:dyDescent="0.4">
      <c r="A91" s="32"/>
      <c r="B91" s="32"/>
      <c r="C91" s="32"/>
      <c r="D91" s="32"/>
      <c r="E91" s="38"/>
      <c r="F91" s="61"/>
      <c r="G91" s="33"/>
      <c r="H91" s="33"/>
      <c r="I91" s="27" t="str">
        <f t="shared" si="19"/>
        <v/>
      </c>
      <c r="J91" s="33"/>
      <c r="K91" s="28">
        <f t="shared" si="17"/>
        <v>0</v>
      </c>
      <c r="L91" s="28">
        <f>IF(AND($Y91&lt;&gt;"",$X91&lt;&gt;""),MAX(0,ROUND(($X91*$Y91),0)-NETWORKDAYS.INTL($V91,基準日,1)),0)</f>
        <v>0</v>
      </c>
      <c r="M91" s="28">
        <f t="shared" ca="1" si="18"/>
        <v>0</v>
      </c>
      <c r="N91" s="28">
        <f t="shared" ca="1" si="20"/>
        <v>0</v>
      </c>
      <c r="O91" s="34"/>
      <c r="P91" s="34"/>
      <c r="Q91" s="71" t="str" cm="1">
        <f t="array" ref="Q91">IF(SUMPRODUCT(--(B91:E91&lt;&gt;""))&gt;0,"○","")</f>
        <v/>
      </c>
      <c r="R91" s="35"/>
      <c r="S91" s="35"/>
      <c r="T91" s="35"/>
      <c r="U91" s="66"/>
      <c r="V91" s="29" t="str">
        <f t="shared" si="21"/>
        <v/>
      </c>
      <c r="W91" s="29" t="str">
        <f t="shared" si="22"/>
        <v/>
      </c>
      <c r="X91" s="30" t="str">
        <f t="shared" si="23"/>
        <v/>
      </c>
      <c r="Y91" s="36"/>
      <c r="Z91" s="37"/>
      <c r="AA91" s="37"/>
      <c r="JG91" s="31" t="str">
        <f t="shared" si="24"/>
        <v/>
      </c>
      <c r="JH91" s="31" t="str">
        <f t="shared" si="25"/>
        <v/>
      </c>
    </row>
    <row r="92" spans="1:268" s="31" customFormat="1" x14ac:dyDescent="0.4">
      <c r="A92" s="32"/>
      <c r="B92" s="32"/>
      <c r="C92" s="32"/>
      <c r="D92" s="32"/>
      <c r="E92" s="38"/>
      <c r="F92" s="61"/>
      <c r="G92" s="33"/>
      <c r="H92" s="33"/>
      <c r="I92" s="27" t="str">
        <f t="shared" si="19"/>
        <v/>
      </c>
      <c r="J92" s="33"/>
      <c r="K92" s="28">
        <f t="shared" si="17"/>
        <v>0</v>
      </c>
      <c r="L92" s="28">
        <f>IF(AND($Y92&lt;&gt;"",$X92&lt;&gt;""),MAX(0,ROUND(($X92*$Y92),0)-NETWORKDAYS.INTL($V92,基準日,1)),0)</f>
        <v>0</v>
      </c>
      <c r="M92" s="28">
        <f t="shared" ca="1" si="18"/>
        <v>0</v>
      </c>
      <c r="N92" s="28">
        <f t="shared" ca="1" si="20"/>
        <v>0</v>
      </c>
      <c r="O92" s="34"/>
      <c r="P92" s="34"/>
      <c r="Q92" s="71" t="str" cm="1">
        <f t="array" ref="Q92">IF(SUMPRODUCT(--(B92:E92&lt;&gt;""))&gt;0,"○","")</f>
        <v/>
      </c>
      <c r="R92" s="35"/>
      <c r="S92" s="35"/>
      <c r="T92" s="35"/>
      <c r="U92" s="66"/>
      <c r="V92" s="29" t="str">
        <f t="shared" si="21"/>
        <v/>
      </c>
      <c r="W92" s="29" t="str">
        <f t="shared" si="22"/>
        <v/>
      </c>
      <c r="X92" s="30" t="str">
        <f t="shared" si="23"/>
        <v/>
      </c>
      <c r="Y92" s="36"/>
      <c r="Z92" s="37"/>
      <c r="AA92" s="37"/>
      <c r="JG92" s="31" t="str">
        <f t="shared" si="24"/>
        <v/>
      </c>
      <c r="JH92" s="31" t="str">
        <f t="shared" si="25"/>
        <v/>
      </c>
    </row>
    <row r="93" spans="1:268" s="31" customFormat="1" x14ac:dyDescent="0.4">
      <c r="A93" s="32"/>
      <c r="B93" s="32"/>
      <c r="C93" s="32"/>
      <c r="D93" s="32"/>
      <c r="E93" s="38"/>
      <c r="F93" s="61"/>
      <c r="G93" s="33"/>
      <c r="H93" s="33"/>
      <c r="I93" s="27" t="str">
        <f t="shared" si="19"/>
        <v/>
      </c>
      <c r="J93" s="33"/>
      <c r="K93" s="28">
        <f t="shared" si="17"/>
        <v>0</v>
      </c>
      <c r="L93" s="28">
        <f>IF(AND($Y93&lt;&gt;"",$X93&lt;&gt;""),MAX(0,ROUND(($X93*$Y93),0)-NETWORKDAYS.INTL($V93,基準日,1)),0)</f>
        <v>0</v>
      </c>
      <c r="M93" s="28">
        <f t="shared" ca="1" si="18"/>
        <v>0</v>
      </c>
      <c r="N93" s="28">
        <f t="shared" ca="1" si="20"/>
        <v>0</v>
      </c>
      <c r="O93" s="34"/>
      <c r="P93" s="34"/>
      <c r="Q93" s="71" t="str" cm="1">
        <f t="array" ref="Q93">IF(SUMPRODUCT(--(B93:E93&lt;&gt;""))&gt;0,"○","")</f>
        <v/>
      </c>
      <c r="R93" s="35"/>
      <c r="S93" s="35"/>
      <c r="T93" s="35"/>
      <c r="U93" s="66"/>
      <c r="V93" s="29" t="str">
        <f t="shared" si="21"/>
        <v/>
      </c>
      <c r="W93" s="29" t="str">
        <f t="shared" si="22"/>
        <v/>
      </c>
      <c r="X93" s="30" t="str">
        <f t="shared" si="23"/>
        <v/>
      </c>
      <c r="Y93" s="36"/>
      <c r="Z93" s="37"/>
      <c r="AA93" s="37"/>
      <c r="JG93" s="31" t="str">
        <f t="shared" si="24"/>
        <v/>
      </c>
      <c r="JH93" s="31" t="str">
        <f t="shared" si="25"/>
        <v/>
      </c>
    </row>
    <row r="94" spans="1:268" s="31" customFormat="1" x14ac:dyDescent="0.4">
      <c r="A94" s="32"/>
      <c r="B94" s="32"/>
      <c r="C94" s="32"/>
      <c r="D94" s="32"/>
      <c r="E94" s="38"/>
      <c r="F94" s="61"/>
      <c r="G94" s="33"/>
      <c r="H94" s="33"/>
      <c r="I94" s="27" t="str">
        <f t="shared" si="19"/>
        <v/>
      </c>
      <c r="J94" s="33"/>
      <c r="K94" s="28">
        <f t="shared" si="17"/>
        <v>0</v>
      </c>
      <c r="L94" s="28">
        <f>IF(AND($Y94&lt;&gt;"",$X94&lt;&gt;""),MAX(0,ROUND(($X94*$Y94),0)-NETWORKDAYS.INTL($V94,基準日,1)),0)</f>
        <v>0</v>
      </c>
      <c r="M94" s="28">
        <f t="shared" ca="1" si="18"/>
        <v>0</v>
      </c>
      <c r="N94" s="28">
        <f t="shared" ca="1" si="20"/>
        <v>0</v>
      </c>
      <c r="O94" s="34"/>
      <c r="P94" s="34"/>
      <c r="Q94" s="71" t="str" cm="1">
        <f t="array" ref="Q94">IF(SUMPRODUCT(--(B94:E94&lt;&gt;""))&gt;0,"○","")</f>
        <v/>
      </c>
      <c r="R94" s="35"/>
      <c r="S94" s="35"/>
      <c r="T94" s="35"/>
      <c r="U94" s="66"/>
      <c r="V94" s="29" t="str">
        <f t="shared" si="21"/>
        <v/>
      </c>
      <c r="W94" s="29" t="str">
        <f t="shared" si="22"/>
        <v/>
      </c>
      <c r="X94" s="30" t="str">
        <f t="shared" si="23"/>
        <v/>
      </c>
      <c r="Y94" s="36"/>
      <c r="Z94" s="37"/>
      <c r="AA94" s="37"/>
      <c r="JG94" s="31" t="str">
        <f t="shared" si="24"/>
        <v/>
      </c>
      <c r="JH94" s="31" t="str">
        <f t="shared" si="25"/>
        <v/>
      </c>
    </row>
    <row r="95" spans="1:268" s="31" customFormat="1" x14ac:dyDescent="0.4">
      <c r="A95" s="32"/>
      <c r="B95" s="32"/>
      <c r="C95" s="32"/>
      <c r="D95" s="32"/>
      <c r="E95" s="38"/>
      <c r="F95" s="61"/>
      <c r="G95" s="33"/>
      <c r="H95" s="33"/>
      <c r="I95" s="27" t="str">
        <f t="shared" si="19"/>
        <v/>
      </c>
      <c r="J95" s="33"/>
      <c r="K95" s="28">
        <f t="shared" si="17"/>
        <v>0</v>
      </c>
      <c r="L95" s="28">
        <f>IF(AND($Y95&lt;&gt;"",$X95&lt;&gt;""),MAX(0,ROUND(($X95*$Y95),0)-NETWORKDAYS.INTL($V95,基準日,1)),0)</f>
        <v>0</v>
      </c>
      <c r="M95" s="28">
        <f t="shared" ca="1" si="18"/>
        <v>0</v>
      </c>
      <c r="N95" s="28">
        <f t="shared" ca="1" si="20"/>
        <v>0</v>
      </c>
      <c r="O95" s="34"/>
      <c r="P95" s="34"/>
      <c r="Q95" s="71" t="str" cm="1">
        <f t="array" ref="Q95">IF(SUMPRODUCT(--(B95:E95&lt;&gt;""))&gt;0,"○","")</f>
        <v/>
      </c>
      <c r="R95" s="35"/>
      <c r="S95" s="35"/>
      <c r="T95" s="35"/>
      <c r="U95" s="66"/>
      <c r="V95" s="29" t="str">
        <f t="shared" si="21"/>
        <v/>
      </c>
      <c r="W95" s="29" t="str">
        <f t="shared" si="22"/>
        <v/>
      </c>
      <c r="X95" s="30" t="str">
        <f t="shared" si="23"/>
        <v/>
      </c>
      <c r="Y95" s="36"/>
      <c r="Z95" s="37"/>
      <c r="AA95" s="37"/>
      <c r="JG95" s="31" t="str">
        <f t="shared" si="24"/>
        <v/>
      </c>
      <c r="JH95" s="31" t="str">
        <f t="shared" si="25"/>
        <v/>
      </c>
    </row>
    <row r="96" spans="1:268" s="31" customFormat="1" x14ac:dyDescent="0.4">
      <c r="A96" s="32"/>
      <c r="B96" s="32"/>
      <c r="C96" s="32"/>
      <c r="D96" s="32"/>
      <c r="E96" s="38"/>
      <c r="F96" s="61"/>
      <c r="G96" s="33"/>
      <c r="H96" s="33"/>
      <c r="I96" s="27" t="str">
        <f t="shared" si="19"/>
        <v/>
      </c>
      <c r="J96" s="33"/>
      <c r="K96" s="28">
        <f t="shared" si="17"/>
        <v>0</v>
      </c>
      <c r="L96" s="28">
        <f>IF(AND($Y96&lt;&gt;"",$X96&lt;&gt;""),MAX(0,ROUND(($X96*$Y96),0)-NETWORKDAYS.INTL($V96,基準日,1)),0)</f>
        <v>0</v>
      </c>
      <c r="M96" s="28">
        <f t="shared" ca="1" si="18"/>
        <v>0</v>
      </c>
      <c r="N96" s="28">
        <f t="shared" ca="1" si="20"/>
        <v>0</v>
      </c>
      <c r="O96" s="34"/>
      <c r="P96" s="34"/>
      <c r="Q96" s="71" t="str" cm="1">
        <f t="array" ref="Q96">IF(SUMPRODUCT(--(B96:E96&lt;&gt;""))&gt;0,"○","")</f>
        <v/>
      </c>
      <c r="R96" s="35"/>
      <c r="S96" s="35"/>
      <c r="T96" s="35"/>
      <c r="U96" s="66"/>
      <c r="V96" s="29" t="str">
        <f t="shared" si="21"/>
        <v/>
      </c>
      <c r="W96" s="29" t="str">
        <f t="shared" si="22"/>
        <v/>
      </c>
      <c r="X96" s="30" t="str">
        <f t="shared" si="23"/>
        <v/>
      </c>
      <c r="Y96" s="36"/>
      <c r="Z96" s="37"/>
      <c r="AA96" s="37"/>
      <c r="JG96" s="31" t="str">
        <f t="shared" si="24"/>
        <v/>
      </c>
      <c r="JH96" s="31" t="str">
        <f t="shared" si="25"/>
        <v/>
      </c>
    </row>
    <row r="97" spans="1:268" s="31" customFormat="1" x14ac:dyDescent="0.4">
      <c r="A97" s="32"/>
      <c r="B97" s="32"/>
      <c r="C97" s="32"/>
      <c r="D97" s="32"/>
      <c r="E97" s="38"/>
      <c r="F97" s="61"/>
      <c r="G97" s="33"/>
      <c r="H97" s="33"/>
      <c r="I97" s="27" t="str">
        <f t="shared" si="19"/>
        <v/>
      </c>
      <c r="J97" s="33"/>
      <c r="K97" s="28">
        <f t="shared" si="17"/>
        <v>0</v>
      </c>
      <c r="L97" s="28">
        <f>IF(AND($Y97&lt;&gt;"",$X97&lt;&gt;""),MAX(0,ROUND(($X97*$Y97),0)-NETWORKDAYS.INTL($V97,基準日,1)),0)</f>
        <v>0</v>
      </c>
      <c r="M97" s="28">
        <f t="shared" ca="1" si="18"/>
        <v>0</v>
      </c>
      <c r="N97" s="28">
        <f t="shared" ca="1" si="20"/>
        <v>0</v>
      </c>
      <c r="O97" s="34"/>
      <c r="P97" s="34"/>
      <c r="Q97" s="71" t="str" cm="1">
        <f t="array" ref="Q97">IF(SUMPRODUCT(--(B97:E97&lt;&gt;""))&gt;0,"○","")</f>
        <v/>
      </c>
      <c r="R97" s="35"/>
      <c r="S97" s="35"/>
      <c r="T97" s="35"/>
      <c r="U97" s="66"/>
      <c r="V97" s="29" t="str">
        <f t="shared" si="21"/>
        <v/>
      </c>
      <c r="W97" s="29" t="str">
        <f t="shared" si="22"/>
        <v/>
      </c>
      <c r="X97" s="30" t="str">
        <f t="shared" si="23"/>
        <v/>
      </c>
      <c r="Y97" s="36"/>
      <c r="Z97" s="37"/>
      <c r="AA97" s="37"/>
      <c r="JG97" s="31" t="str">
        <f t="shared" si="24"/>
        <v/>
      </c>
      <c r="JH97" s="31" t="str">
        <f t="shared" si="25"/>
        <v/>
      </c>
    </row>
    <row r="98" spans="1:268" s="31" customFormat="1" x14ac:dyDescent="0.4">
      <c r="A98" s="32"/>
      <c r="B98" s="32"/>
      <c r="C98" s="32"/>
      <c r="D98" s="32"/>
      <c r="E98" s="38"/>
      <c r="F98" s="61"/>
      <c r="G98" s="33"/>
      <c r="H98" s="33"/>
      <c r="I98" s="27" t="str">
        <f t="shared" si="19"/>
        <v/>
      </c>
      <c r="J98" s="33"/>
      <c r="K98" s="28">
        <f t="shared" si="17"/>
        <v>0</v>
      </c>
      <c r="L98" s="28">
        <f>IF(AND($Y98&lt;&gt;"",$X98&lt;&gt;""),MAX(0,ROUND(($X98*$Y98),0)-NETWORKDAYS.INTL($V98,基準日,1)),0)</f>
        <v>0</v>
      </c>
      <c r="M98" s="28">
        <f t="shared" ca="1" si="18"/>
        <v>0</v>
      </c>
      <c r="N98" s="28">
        <f t="shared" ca="1" si="20"/>
        <v>0</v>
      </c>
      <c r="O98" s="34"/>
      <c r="P98" s="34"/>
      <c r="Q98" s="71" t="str" cm="1">
        <f t="array" ref="Q98">IF(SUMPRODUCT(--(B98:E98&lt;&gt;""))&gt;0,"○","")</f>
        <v/>
      </c>
      <c r="R98" s="35"/>
      <c r="S98" s="35"/>
      <c r="T98" s="35"/>
      <c r="U98" s="66"/>
      <c r="V98" s="29" t="str">
        <f t="shared" si="21"/>
        <v/>
      </c>
      <c r="W98" s="29" t="str">
        <f t="shared" si="22"/>
        <v/>
      </c>
      <c r="X98" s="30" t="str">
        <f t="shared" si="23"/>
        <v/>
      </c>
      <c r="Y98" s="36"/>
      <c r="Z98" s="37"/>
      <c r="AA98" s="37"/>
      <c r="JG98" s="31" t="str">
        <f t="shared" si="24"/>
        <v/>
      </c>
      <c r="JH98" s="31" t="str">
        <f t="shared" si="25"/>
        <v/>
      </c>
    </row>
    <row r="99" spans="1:268" s="31" customFormat="1" x14ac:dyDescent="0.4">
      <c r="A99" s="32"/>
      <c r="B99" s="32"/>
      <c r="C99" s="32"/>
      <c r="D99" s="32"/>
      <c r="E99" s="38"/>
      <c r="F99" s="61"/>
      <c r="G99" s="33"/>
      <c r="H99" s="33"/>
      <c r="I99" s="27" t="str">
        <f t="shared" si="19"/>
        <v/>
      </c>
      <c r="J99" s="33"/>
      <c r="K99" s="28">
        <f t="shared" si="17"/>
        <v>0</v>
      </c>
      <c r="L99" s="28">
        <f>IF(AND($Y99&lt;&gt;"",$X99&lt;&gt;""),MAX(0,ROUND(($X99*$Y99),0)-NETWORKDAYS.INTL($V99,基準日,1)),0)</f>
        <v>0</v>
      </c>
      <c r="M99" s="28">
        <f t="shared" ca="1" si="18"/>
        <v>0</v>
      </c>
      <c r="N99" s="28">
        <f t="shared" ca="1" si="20"/>
        <v>0</v>
      </c>
      <c r="O99" s="34"/>
      <c r="P99" s="34"/>
      <c r="Q99" s="71" t="str" cm="1">
        <f t="array" ref="Q99">IF(SUMPRODUCT(--(B99:E99&lt;&gt;""))&gt;0,"○","")</f>
        <v/>
      </c>
      <c r="R99" s="35"/>
      <c r="S99" s="35"/>
      <c r="T99" s="35"/>
      <c r="U99" s="66"/>
      <c r="V99" s="29" t="str">
        <f t="shared" si="21"/>
        <v/>
      </c>
      <c r="W99" s="29" t="str">
        <f t="shared" si="22"/>
        <v/>
      </c>
      <c r="X99" s="30" t="str">
        <f t="shared" si="23"/>
        <v/>
      </c>
      <c r="Y99" s="36"/>
      <c r="Z99" s="37"/>
      <c r="AA99" s="37"/>
      <c r="JG99" s="31" t="str">
        <f t="shared" si="24"/>
        <v/>
      </c>
      <c r="JH99" s="31" t="str">
        <f t="shared" si="25"/>
        <v/>
      </c>
    </row>
    <row r="100" spans="1:268" s="31" customFormat="1" x14ac:dyDescent="0.4">
      <c r="A100" s="32"/>
      <c r="B100" s="32"/>
      <c r="C100" s="32"/>
      <c r="D100" s="32"/>
      <c r="E100" s="38"/>
      <c r="F100" s="61"/>
      <c r="G100" s="33"/>
      <c r="H100" s="33"/>
      <c r="I100" s="27" t="str">
        <f t="shared" si="19"/>
        <v/>
      </c>
      <c r="J100" s="33"/>
      <c r="K100" s="28">
        <f t="shared" si="17"/>
        <v>0</v>
      </c>
      <c r="L100" s="28">
        <f>IF(AND($Y100&lt;&gt;"",$X100&lt;&gt;""),MAX(0,ROUND(($X100*$Y100),0)-NETWORKDAYS.INTL($V100,基準日,1)),0)</f>
        <v>0</v>
      </c>
      <c r="M100" s="28">
        <f t="shared" ca="1" si="18"/>
        <v>0</v>
      </c>
      <c r="N100" s="28">
        <f t="shared" ca="1" si="20"/>
        <v>0</v>
      </c>
      <c r="O100" s="34"/>
      <c r="P100" s="34"/>
      <c r="Q100" s="71" t="str" cm="1">
        <f t="array" ref="Q100">IF(SUMPRODUCT(--(B100:E100&lt;&gt;""))&gt;0,"○","")</f>
        <v/>
      </c>
      <c r="R100" s="35"/>
      <c r="S100" s="35"/>
      <c r="T100" s="35"/>
      <c r="U100" s="66"/>
      <c r="V100" s="29" t="str">
        <f t="shared" si="21"/>
        <v/>
      </c>
      <c r="W100" s="29" t="str">
        <f t="shared" si="22"/>
        <v/>
      </c>
      <c r="X100" s="30" t="str">
        <f t="shared" si="23"/>
        <v/>
      </c>
      <c r="Y100" s="36"/>
      <c r="Z100" s="37"/>
      <c r="AA100" s="37"/>
      <c r="JG100" s="31" t="str">
        <f t="shared" si="24"/>
        <v/>
      </c>
      <c r="JH100" s="31" t="str">
        <f t="shared" si="25"/>
        <v/>
      </c>
    </row>
    <row r="101" spans="1:268" s="31" customFormat="1" x14ac:dyDescent="0.4">
      <c r="A101" s="32"/>
      <c r="B101" s="32"/>
      <c r="C101" s="32"/>
      <c r="D101" s="32"/>
      <c r="E101" s="38"/>
      <c r="F101" s="61"/>
      <c r="G101" s="33"/>
      <c r="H101" s="33"/>
      <c r="I101" s="27" t="str">
        <f t="shared" si="19"/>
        <v/>
      </c>
      <c r="J101" s="33"/>
      <c r="K101" s="28">
        <f t="shared" si="17"/>
        <v>0</v>
      </c>
      <c r="L101" s="28">
        <f>IF(AND($Y101&lt;&gt;"",$X101&lt;&gt;""),MAX(0,ROUND(($X101*$Y101),0)-NETWORKDAYS.INTL($V101,基準日,1)),0)</f>
        <v>0</v>
      </c>
      <c r="M101" s="28">
        <f t="shared" ca="1" si="18"/>
        <v>0</v>
      </c>
      <c r="N101" s="28">
        <f t="shared" ca="1" si="20"/>
        <v>0</v>
      </c>
      <c r="O101" s="34"/>
      <c r="P101" s="34"/>
      <c r="Q101" s="71" t="str" cm="1">
        <f t="array" ref="Q101">IF(SUMPRODUCT(--(B101:E101&lt;&gt;""))&gt;0,"○","")</f>
        <v/>
      </c>
      <c r="R101" s="35"/>
      <c r="S101" s="35"/>
      <c r="T101" s="35"/>
      <c r="U101" s="66"/>
      <c r="V101" s="29" t="str">
        <f t="shared" si="21"/>
        <v/>
      </c>
      <c r="W101" s="29" t="str">
        <f t="shared" si="22"/>
        <v/>
      </c>
      <c r="X101" s="30" t="str">
        <f t="shared" si="23"/>
        <v/>
      </c>
      <c r="Y101" s="36"/>
      <c r="Z101" s="37"/>
      <c r="AA101" s="37"/>
      <c r="JG101" s="31" t="str">
        <f t="shared" si="24"/>
        <v/>
      </c>
      <c r="JH101" s="31" t="str">
        <f t="shared" si="25"/>
        <v/>
      </c>
    </row>
    <row r="102" spans="1:268" s="31" customFormat="1" x14ac:dyDescent="0.4">
      <c r="A102" s="32"/>
      <c r="B102" s="32"/>
      <c r="C102" s="32"/>
      <c r="D102" s="32"/>
      <c r="E102" s="38"/>
      <c r="F102" s="61"/>
      <c r="G102" s="33"/>
      <c r="H102" s="33"/>
      <c r="I102" s="27" t="str">
        <f t="shared" si="19"/>
        <v/>
      </c>
      <c r="J102" s="33"/>
      <c r="K102" s="28">
        <f t="shared" si="17"/>
        <v>0</v>
      </c>
      <c r="L102" s="28">
        <f>IF(AND($Y102&lt;&gt;"",$X102&lt;&gt;""),MAX(0,ROUND(($X102*$Y102),0)-NETWORKDAYS.INTL($V102,基準日,1)),0)</f>
        <v>0</v>
      </c>
      <c r="M102" s="28">
        <f t="shared" ca="1" si="18"/>
        <v>0</v>
      </c>
      <c r="N102" s="28">
        <f t="shared" ca="1" si="20"/>
        <v>0</v>
      </c>
      <c r="O102" s="34"/>
      <c r="P102" s="34"/>
      <c r="Q102" s="71" t="str" cm="1">
        <f t="array" ref="Q102">IF(SUMPRODUCT(--(B102:E102&lt;&gt;""))&gt;0,"○","")</f>
        <v/>
      </c>
      <c r="R102" s="35"/>
      <c r="S102" s="35"/>
      <c r="T102" s="35"/>
      <c r="U102" s="66"/>
      <c r="V102" s="29" t="str">
        <f t="shared" si="21"/>
        <v/>
      </c>
      <c r="W102" s="29" t="str">
        <f t="shared" si="22"/>
        <v/>
      </c>
      <c r="X102" s="30" t="str">
        <f t="shared" si="23"/>
        <v/>
      </c>
      <c r="Y102" s="36"/>
      <c r="Z102" s="37"/>
      <c r="AA102" s="37"/>
      <c r="JG102" s="31" t="str">
        <f t="shared" si="24"/>
        <v/>
      </c>
      <c r="JH102" s="31" t="str">
        <f t="shared" si="25"/>
        <v/>
      </c>
    </row>
    <row r="103" spans="1:268" s="31" customFormat="1" x14ac:dyDescent="0.4">
      <c r="A103" s="32"/>
      <c r="B103" s="32"/>
      <c r="C103" s="32"/>
      <c r="D103" s="32"/>
      <c r="E103" s="38"/>
      <c r="F103" s="61"/>
      <c r="G103" s="33"/>
      <c r="H103" s="33"/>
      <c r="I103" s="27" t="str">
        <f t="shared" si="19"/>
        <v/>
      </c>
      <c r="J103" s="33"/>
      <c r="K103" s="28">
        <f t="shared" si="17"/>
        <v>0</v>
      </c>
      <c r="L103" s="28">
        <f>IF(AND($Y103&lt;&gt;"",$X103&lt;&gt;""),MAX(0,ROUND(($X103*$Y103),0)-NETWORKDAYS.INTL($V103,基準日,1)),0)</f>
        <v>0</v>
      </c>
      <c r="M103" s="28">
        <f t="shared" ca="1" si="18"/>
        <v>0</v>
      </c>
      <c r="N103" s="28">
        <f t="shared" ca="1" si="20"/>
        <v>0</v>
      </c>
      <c r="O103" s="34"/>
      <c r="P103" s="34"/>
      <c r="Q103" s="71" t="str" cm="1">
        <f t="array" ref="Q103">IF(SUMPRODUCT(--(B103:E103&lt;&gt;""))&gt;0,"○","")</f>
        <v/>
      </c>
      <c r="R103" s="35"/>
      <c r="S103" s="35"/>
      <c r="T103" s="35"/>
      <c r="U103" s="66"/>
      <c r="V103" s="29" t="str">
        <f t="shared" si="21"/>
        <v/>
      </c>
      <c r="W103" s="29" t="str">
        <f t="shared" si="22"/>
        <v/>
      </c>
      <c r="X103" s="30" t="str">
        <f t="shared" si="23"/>
        <v/>
      </c>
      <c r="Y103" s="36"/>
      <c r="Z103" s="37"/>
      <c r="AA103" s="37"/>
      <c r="JG103" s="31" t="str">
        <f t="shared" si="24"/>
        <v/>
      </c>
      <c r="JH103" s="31" t="str">
        <f t="shared" si="25"/>
        <v/>
      </c>
    </row>
    <row r="104" spans="1:268" s="31" customFormat="1" x14ac:dyDescent="0.4">
      <c r="A104" s="32"/>
      <c r="B104" s="32"/>
      <c r="C104" s="32"/>
      <c r="D104" s="32"/>
      <c r="E104" s="38"/>
      <c r="F104" s="61"/>
      <c r="G104" s="33"/>
      <c r="H104" s="33"/>
      <c r="I104" s="27" t="str">
        <f t="shared" si="19"/>
        <v/>
      </c>
      <c r="J104" s="33"/>
      <c r="K104" s="28">
        <f t="shared" si="17"/>
        <v>0</v>
      </c>
      <c r="L104" s="28">
        <f>IF(AND($Y104&lt;&gt;"",$X104&lt;&gt;""),MAX(0,ROUND(($X104*$Y104),0)-NETWORKDAYS.INTL($V104,基準日,1)),0)</f>
        <v>0</v>
      </c>
      <c r="M104" s="28">
        <f t="shared" ca="1" si="18"/>
        <v>0</v>
      </c>
      <c r="N104" s="28">
        <f t="shared" ca="1" si="20"/>
        <v>0</v>
      </c>
      <c r="O104" s="34"/>
      <c r="P104" s="34"/>
      <c r="Q104" s="71" t="str" cm="1">
        <f t="array" ref="Q104">IF(SUMPRODUCT(--(B104:E104&lt;&gt;""))&gt;0,"○","")</f>
        <v/>
      </c>
      <c r="R104" s="35"/>
      <c r="S104" s="35"/>
      <c r="T104" s="35"/>
      <c r="U104" s="66"/>
      <c r="V104" s="29" t="str">
        <f t="shared" si="21"/>
        <v/>
      </c>
      <c r="W104" s="29" t="str">
        <f t="shared" si="22"/>
        <v/>
      </c>
      <c r="X104" s="30" t="str">
        <f t="shared" si="23"/>
        <v/>
      </c>
      <c r="Y104" s="36"/>
      <c r="Z104" s="37"/>
      <c r="AA104" s="37"/>
      <c r="JG104" s="31" t="str">
        <f t="shared" si="24"/>
        <v/>
      </c>
      <c r="JH104" s="31" t="str">
        <f t="shared" si="25"/>
        <v/>
      </c>
    </row>
    <row r="105" spans="1:268" s="31" customFormat="1" x14ac:dyDescent="0.4">
      <c r="A105" s="32"/>
      <c r="B105" s="32"/>
      <c r="C105" s="32"/>
      <c r="D105" s="32"/>
      <c r="E105" s="38"/>
      <c r="F105" s="61"/>
      <c r="G105" s="33"/>
      <c r="H105" s="33"/>
      <c r="I105" s="27" t="str">
        <f t="shared" si="19"/>
        <v/>
      </c>
      <c r="J105" s="33"/>
      <c r="K105" s="28">
        <f t="shared" si="17"/>
        <v>0</v>
      </c>
      <c r="L105" s="28">
        <f>IF(AND($Y105&lt;&gt;"",$X105&lt;&gt;""),MAX(0,ROUND(($X105*$Y105),0)-NETWORKDAYS.INTL($V105,基準日,1)),0)</f>
        <v>0</v>
      </c>
      <c r="M105" s="28">
        <f t="shared" ca="1" si="18"/>
        <v>0</v>
      </c>
      <c r="N105" s="28">
        <f t="shared" ca="1" si="20"/>
        <v>0</v>
      </c>
      <c r="O105" s="34"/>
      <c r="P105" s="34"/>
      <c r="Q105" s="71" t="str" cm="1">
        <f t="array" ref="Q105">IF(SUMPRODUCT(--(B105:E105&lt;&gt;""))&gt;0,"○","")</f>
        <v/>
      </c>
      <c r="R105" s="35"/>
      <c r="S105" s="35"/>
      <c r="T105" s="35"/>
      <c r="U105" s="66"/>
      <c r="V105" s="29" t="str">
        <f t="shared" si="21"/>
        <v/>
      </c>
      <c r="W105" s="29" t="str">
        <f t="shared" si="22"/>
        <v/>
      </c>
      <c r="X105" s="30" t="str">
        <f t="shared" si="23"/>
        <v/>
      </c>
      <c r="Y105" s="36"/>
      <c r="Z105" s="37"/>
      <c r="AA105" s="37"/>
      <c r="JG105" s="31" t="str">
        <f t="shared" si="24"/>
        <v/>
      </c>
      <c r="JH105" s="31" t="str">
        <f t="shared" si="25"/>
        <v/>
      </c>
    </row>
    <row r="106" spans="1:268" s="31" customFormat="1" x14ac:dyDescent="0.4">
      <c r="A106" s="32"/>
      <c r="B106" s="32"/>
      <c r="C106" s="32"/>
      <c r="D106" s="32"/>
      <c r="E106" s="38"/>
      <c r="F106" s="61"/>
      <c r="G106" s="33"/>
      <c r="H106" s="33"/>
      <c r="I106" s="27" t="str">
        <f t="shared" si="19"/>
        <v/>
      </c>
      <c r="J106" s="33"/>
      <c r="K106" s="28">
        <f t="shared" si="17"/>
        <v>0</v>
      </c>
      <c r="L106" s="28">
        <f>IF(AND($Y106&lt;&gt;"",$X106&lt;&gt;""),MAX(0,ROUND(($X106*$Y106),0)-NETWORKDAYS.INTL($V106,基準日,1)),0)</f>
        <v>0</v>
      </c>
      <c r="M106" s="28">
        <f t="shared" ca="1" si="18"/>
        <v>0</v>
      </c>
      <c r="N106" s="28">
        <f t="shared" ca="1" si="20"/>
        <v>0</v>
      </c>
      <c r="O106" s="34"/>
      <c r="P106" s="34"/>
      <c r="Q106" s="71" t="str" cm="1">
        <f t="array" ref="Q106">IF(SUMPRODUCT(--(B106:E106&lt;&gt;""))&gt;0,"○","")</f>
        <v/>
      </c>
      <c r="R106" s="35"/>
      <c r="S106" s="35"/>
      <c r="T106" s="35"/>
      <c r="U106" s="66"/>
      <c r="V106" s="29" t="str">
        <f t="shared" si="21"/>
        <v/>
      </c>
      <c r="W106" s="29" t="str">
        <f t="shared" si="22"/>
        <v/>
      </c>
      <c r="X106" s="30" t="str">
        <f t="shared" si="23"/>
        <v/>
      </c>
      <c r="Y106" s="36"/>
      <c r="Z106" s="37"/>
      <c r="AA106" s="37"/>
      <c r="JG106" s="31" t="str">
        <f t="shared" si="24"/>
        <v/>
      </c>
      <c r="JH106" s="31" t="str">
        <f t="shared" si="25"/>
        <v/>
      </c>
    </row>
    <row r="107" spans="1:268" s="31" customFormat="1" x14ac:dyDescent="0.4">
      <c r="A107" s="32"/>
      <c r="B107" s="32"/>
      <c r="C107" s="32"/>
      <c r="D107" s="32"/>
      <c r="E107" s="38"/>
      <c r="F107" s="61"/>
      <c r="G107" s="33"/>
      <c r="H107" s="33"/>
      <c r="I107" s="27" t="str">
        <f t="shared" si="19"/>
        <v/>
      </c>
      <c r="J107" s="33"/>
      <c r="K107" s="28">
        <f t="shared" si="17"/>
        <v>0</v>
      </c>
      <c r="L107" s="28">
        <f>IF(AND($Y107&lt;&gt;"",$X107&lt;&gt;""),MAX(0,ROUND(($X107*$Y107),0)-NETWORKDAYS.INTL($V107,基準日,1)),0)</f>
        <v>0</v>
      </c>
      <c r="M107" s="28">
        <f t="shared" ca="1" si="18"/>
        <v>0</v>
      </c>
      <c r="N107" s="28">
        <f t="shared" ca="1" si="20"/>
        <v>0</v>
      </c>
      <c r="O107" s="34"/>
      <c r="P107" s="34"/>
      <c r="Q107" s="71" t="str" cm="1">
        <f t="array" ref="Q107">IF(SUMPRODUCT(--(B107:E107&lt;&gt;""))&gt;0,"○","")</f>
        <v/>
      </c>
      <c r="R107" s="35"/>
      <c r="S107" s="35"/>
      <c r="T107" s="35"/>
      <c r="U107" s="66"/>
      <c r="V107" s="29" t="str">
        <f t="shared" si="21"/>
        <v/>
      </c>
      <c r="W107" s="29" t="str">
        <f t="shared" si="22"/>
        <v/>
      </c>
      <c r="X107" s="30" t="str">
        <f t="shared" si="23"/>
        <v/>
      </c>
      <c r="Y107" s="36"/>
      <c r="Z107" s="37"/>
      <c r="AA107" s="37"/>
      <c r="JG107" s="31" t="str">
        <f t="shared" si="24"/>
        <v/>
      </c>
      <c r="JH107" s="31" t="str">
        <f t="shared" si="25"/>
        <v/>
      </c>
    </row>
    <row r="108" spans="1:268" s="31" customFormat="1" x14ac:dyDescent="0.4">
      <c r="A108" s="32"/>
      <c r="B108" s="32"/>
      <c r="C108" s="32"/>
      <c r="D108" s="32"/>
      <c r="E108" s="38"/>
      <c r="F108" s="61"/>
      <c r="G108" s="33"/>
      <c r="H108" s="33"/>
      <c r="I108" s="27" t="str">
        <f t="shared" si="19"/>
        <v/>
      </c>
      <c r="J108" s="33"/>
      <c r="K108" s="28">
        <f t="shared" si="17"/>
        <v>0</v>
      </c>
      <c r="L108" s="28">
        <f>IF(AND($Y108&lt;&gt;"",$X108&lt;&gt;""),MAX(0,ROUND(($X108*$Y108),0)-NETWORKDAYS.INTL($V108,基準日,1)),0)</f>
        <v>0</v>
      </c>
      <c r="M108" s="28">
        <f t="shared" ca="1" si="18"/>
        <v>0</v>
      </c>
      <c r="N108" s="28">
        <f t="shared" ca="1" si="20"/>
        <v>0</v>
      </c>
      <c r="O108" s="34"/>
      <c r="P108" s="34"/>
      <c r="Q108" s="71" t="str" cm="1">
        <f t="array" ref="Q108">IF(SUMPRODUCT(--(B108:E108&lt;&gt;""))&gt;0,"○","")</f>
        <v/>
      </c>
      <c r="R108" s="35"/>
      <c r="S108" s="35"/>
      <c r="T108" s="35"/>
      <c r="U108" s="66"/>
      <c r="V108" s="29" t="str">
        <f t="shared" si="21"/>
        <v/>
      </c>
      <c r="W108" s="29" t="str">
        <f t="shared" si="22"/>
        <v/>
      </c>
      <c r="X108" s="30" t="str">
        <f t="shared" si="23"/>
        <v/>
      </c>
      <c r="Y108" s="36"/>
      <c r="Z108" s="37"/>
      <c r="AA108" s="37"/>
      <c r="JG108" s="31" t="str">
        <f t="shared" si="24"/>
        <v/>
      </c>
      <c r="JH108" s="31" t="str">
        <f t="shared" si="25"/>
        <v/>
      </c>
    </row>
    <row r="109" spans="1:268" s="31" customFormat="1" x14ac:dyDescent="0.4">
      <c r="A109" s="32"/>
      <c r="B109" s="32"/>
      <c r="C109" s="32"/>
      <c r="D109" s="32"/>
      <c r="E109" s="38"/>
      <c r="F109" s="61"/>
      <c r="G109" s="33"/>
      <c r="H109" s="33"/>
      <c r="I109" s="27" t="str">
        <f t="shared" si="19"/>
        <v/>
      </c>
      <c r="J109" s="33"/>
      <c r="K109" s="28">
        <f t="shared" si="17"/>
        <v>0</v>
      </c>
      <c r="L109" s="28">
        <f>IF(AND($Y109&lt;&gt;"",$X109&lt;&gt;""),MAX(0,ROUND(($X109*$Y109),0)-NETWORKDAYS.INTL($V109,基準日,1)),0)</f>
        <v>0</v>
      </c>
      <c r="M109" s="28">
        <f t="shared" ca="1" si="18"/>
        <v>0</v>
      </c>
      <c r="N109" s="28">
        <f t="shared" ca="1" si="20"/>
        <v>0</v>
      </c>
      <c r="O109" s="34"/>
      <c r="P109" s="34"/>
      <c r="Q109" s="71" t="str" cm="1">
        <f t="array" ref="Q109">IF(SUMPRODUCT(--(B109:E109&lt;&gt;""))&gt;0,"○","")</f>
        <v/>
      </c>
      <c r="R109" s="35"/>
      <c r="S109" s="35"/>
      <c r="T109" s="35"/>
      <c r="U109" s="66"/>
      <c r="V109" s="29" t="str">
        <f t="shared" si="21"/>
        <v/>
      </c>
      <c r="W109" s="29" t="str">
        <f t="shared" si="22"/>
        <v/>
      </c>
      <c r="X109" s="30" t="str">
        <f t="shared" si="23"/>
        <v/>
      </c>
      <c r="Y109" s="36"/>
      <c r="Z109" s="37"/>
      <c r="AA109" s="37"/>
      <c r="JG109" s="31" t="str">
        <f t="shared" si="24"/>
        <v/>
      </c>
      <c r="JH109" s="31" t="str">
        <f t="shared" si="25"/>
        <v/>
      </c>
    </row>
    <row r="110" spans="1:268" s="31" customFormat="1" x14ac:dyDescent="0.4">
      <c r="A110" s="32"/>
      <c r="B110" s="32"/>
      <c r="C110" s="32"/>
      <c r="D110" s="32"/>
      <c r="E110" s="38"/>
      <c r="F110" s="61"/>
      <c r="G110" s="33"/>
      <c r="H110" s="33"/>
      <c r="I110" s="27" t="str">
        <f t="shared" si="19"/>
        <v/>
      </c>
      <c r="J110" s="33"/>
      <c r="K110" s="28">
        <f t="shared" si="17"/>
        <v>0</v>
      </c>
      <c r="L110" s="28">
        <f>IF(AND($Y110&lt;&gt;"",$X110&lt;&gt;""),MAX(0,ROUND(($X110*$Y110),0)-NETWORKDAYS.INTL($V110,基準日,1)),0)</f>
        <v>0</v>
      </c>
      <c r="M110" s="28">
        <f t="shared" ca="1" si="18"/>
        <v>0</v>
      </c>
      <c r="N110" s="28">
        <f t="shared" ca="1" si="20"/>
        <v>0</v>
      </c>
      <c r="O110" s="34"/>
      <c r="P110" s="34"/>
      <c r="Q110" s="71" t="str" cm="1">
        <f t="array" ref="Q110">IF(SUMPRODUCT(--(B110:E110&lt;&gt;""))&gt;0,"○","")</f>
        <v/>
      </c>
      <c r="R110" s="35"/>
      <c r="S110" s="35"/>
      <c r="T110" s="35"/>
      <c r="U110" s="66"/>
      <c r="V110" s="29" t="str">
        <f t="shared" si="21"/>
        <v/>
      </c>
      <c r="W110" s="29" t="str">
        <f t="shared" si="22"/>
        <v/>
      </c>
      <c r="X110" s="30" t="str">
        <f t="shared" si="23"/>
        <v/>
      </c>
      <c r="Y110" s="36"/>
      <c r="Z110" s="37"/>
      <c r="AA110" s="37"/>
      <c r="JG110" s="31" t="str">
        <f t="shared" si="24"/>
        <v/>
      </c>
      <c r="JH110" s="31" t="str">
        <f t="shared" si="25"/>
        <v/>
      </c>
    </row>
    <row r="111" spans="1:268" s="31" customFormat="1" x14ac:dyDescent="0.4">
      <c r="A111" s="32"/>
      <c r="B111" s="32"/>
      <c r="C111" s="32"/>
      <c r="D111" s="32"/>
      <c r="E111" s="38"/>
      <c r="F111" s="61"/>
      <c r="G111" s="33"/>
      <c r="H111" s="33"/>
      <c r="I111" s="27" t="str">
        <f t="shared" si="19"/>
        <v/>
      </c>
      <c r="J111" s="33"/>
      <c r="K111" s="28">
        <f t="shared" si="17"/>
        <v>0</v>
      </c>
      <c r="L111" s="28">
        <f>IF(AND($Y111&lt;&gt;"",$X111&lt;&gt;""),MAX(0,ROUND(($X111*$Y111),0)-NETWORKDAYS.INTL($V111,基準日,1)),0)</f>
        <v>0</v>
      </c>
      <c r="M111" s="28">
        <f t="shared" ca="1" si="18"/>
        <v>0</v>
      </c>
      <c r="N111" s="28">
        <f t="shared" ca="1" si="20"/>
        <v>0</v>
      </c>
      <c r="O111" s="34"/>
      <c r="P111" s="34"/>
      <c r="Q111" s="71" t="str" cm="1">
        <f t="array" ref="Q111">IF(SUMPRODUCT(--(B111:E111&lt;&gt;""))&gt;0,"○","")</f>
        <v/>
      </c>
      <c r="R111" s="35"/>
      <c r="S111" s="35"/>
      <c r="T111" s="35"/>
      <c r="U111" s="66"/>
      <c r="V111" s="29" t="str">
        <f t="shared" si="21"/>
        <v/>
      </c>
      <c r="W111" s="29" t="str">
        <f t="shared" si="22"/>
        <v/>
      </c>
      <c r="X111" s="30" t="str">
        <f t="shared" si="23"/>
        <v/>
      </c>
      <c r="Y111" s="36"/>
      <c r="Z111" s="37"/>
      <c r="AA111" s="37"/>
      <c r="JG111" s="31" t="str">
        <f t="shared" si="24"/>
        <v/>
      </c>
      <c r="JH111" s="31" t="str">
        <f t="shared" si="25"/>
        <v/>
      </c>
    </row>
    <row r="112" spans="1:268" s="31" customFormat="1" x14ac:dyDescent="0.4">
      <c r="A112" s="32"/>
      <c r="B112" s="32"/>
      <c r="C112" s="32"/>
      <c r="D112" s="32"/>
      <c r="E112" s="38"/>
      <c r="F112" s="61"/>
      <c r="G112" s="33"/>
      <c r="H112" s="33"/>
      <c r="I112" s="27" t="str">
        <f t="shared" si="19"/>
        <v/>
      </c>
      <c r="J112" s="33"/>
      <c r="K112" s="28">
        <f t="shared" si="17"/>
        <v>0</v>
      </c>
      <c r="L112" s="28">
        <f>IF(AND($Y112&lt;&gt;"",$X112&lt;&gt;""),MAX(0,ROUND(($X112*$Y112),0)-NETWORKDAYS.INTL($V112,基準日,1)),0)</f>
        <v>0</v>
      </c>
      <c r="M112" s="28">
        <f t="shared" ca="1" si="18"/>
        <v>0</v>
      </c>
      <c r="N112" s="28">
        <f t="shared" ca="1" si="20"/>
        <v>0</v>
      </c>
      <c r="O112" s="34"/>
      <c r="P112" s="34"/>
      <c r="Q112" s="71" t="str" cm="1">
        <f t="array" ref="Q112">IF(SUMPRODUCT(--(B112:E112&lt;&gt;""))&gt;0,"○","")</f>
        <v/>
      </c>
      <c r="R112" s="35"/>
      <c r="S112" s="35"/>
      <c r="T112" s="35"/>
      <c r="U112" s="66"/>
      <c r="V112" s="29" t="str">
        <f t="shared" si="21"/>
        <v/>
      </c>
      <c r="W112" s="29" t="str">
        <f t="shared" si="22"/>
        <v/>
      </c>
      <c r="X112" s="30" t="str">
        <f t="shared" si="23"/>
        <v/>
      </c>
      <c r="Y112" s="36"/>
      <c r="Z112" s="37"/>
      <c r="AA112" s="37"/>
      <c r="JG112" s="31" t="str">
        <f t="shared" si="24"/>
        <v/>
      </c>
      <c r="JH112" s="31" t="str">
        <f t="shared" si="25"/>
        <v/>
      </c>
    </row>
    <row r="113" spans="1:268" s="31" customFormat="1" x14ac:dyDescent="0.4">
      <c r="A113" s="32"/>
      <c r="B113" s="32"/>
      <c r="C113" s="32"/>
      <c r="D113" s="32"/>
      <c r="E113" s="38"/>
      <c r="F113" s="61"/>
      <c r="G113" s="33"/>
      <c r="H113" s="33"/>
      <c r="I113" s="27" t="str">
        <f t="shared" si="19"/>
        <v/>
      </c>
      <c r="J113" s="33"/>
      <c r="K113" s="28">
        <f t="shared" si="17"/>
        <v>0</v>
      </c>
      <c r="L113" s="28">
        <f>IF(AND($Y113&lt;&gt;"",$X113&lt;&gt;""),MAX(0,ROUND(($X113*$Y113),0)-NETWORKDAYS.INTL($V113,基準日,1)),0)</f>
        <v>0</v>
      </c>
      <c r="M113" s="28">
        <f t="shared" ca="1" si="18"/>
        <v>0</v>
      </c>
      <c r="N113" s="28">
        <f t="shared" ca="1" si="20"/>
        <v>0</v>
      </c>
      <c r="O113" s="34"/>
      <c r="P113" s="34"/>
      <c r="Q113" s="71" t="str" cm="1">
        <f t="array" ref="Q113">IF(SUMPRODUCT(--(B113:E113&lt;&gt;""))&gt;0,"○","")</f>
        <v/>
      </c>
      <c r="R113" s="35"/>
      <c r="S113" s="35"/>
      <c r="T113" s="35"/>
      <c r="U113" s="66"/>
      <c r="V113" s="29" t="str">
        <f t="shared" si="21"/>
        <v/>
      </c>
      <c r="W113" s="29" t="str">
        <f t="shared" si="22"/>
        <v/>
      </c>
      <c r="X113" s="30" t="str">
        <f t="shared" si="23"/>
        <v/>
      </c>
      <c r="Y113" s="36"/>
      <c r="Z113" s="37"/>
      <c r="AA113" s="37"/>
      <c r="JG113" s="31" t="str">
        <f t="shared" si="24"/>
        <v/>
      </c>
      <c r="JH113" s="31" t="str">
        <f t="shared" si="25"/>
        <v/>
      </c>
    </row>
    <row r="114" spans="1:268" s="31" customFormat="1" x14ac:dyDescent="0.4">
      <c r="A114" s="32"/>
      <c r="B114" s="32"/>
      <c r="C114" s="32"/>
      <c r="D114" s="32"/>
      <c r="E114" s="38"/>
      <c r="F114" s="61"/>
      <c r="G114" s="33"/>
      <c r="H114" s="33"/>
      <c r="I114" s="27" t="str">
        <f t="shared" si="19"/>
        <v/>
      </c>
      <c r="J114" s="33"/>
      <c r="K114" s="28">
        <f t="shared" si="17"/>
        <v>0</v>
      </c>
      <c r="L114" s="28">
        <f>IF(AND($Y114&lt;&gt;"",$X114&lt;&gt;""),MAX(0,ROUND(($X114*$Y114),0)-NETWORKDAYS.INTL($V114,基準日,1)),0)</f>
        <v>0</v>
      </c>
      <c r="M114" s="28">
        <f t="shared" ca="1" si="18"/>
        <v>0</v>
      </c>
      <c r="N114" s="28">
        <f t="shared" ca="1" si="20"/>
        <v>0</v>
      </c>
      <c r="O114" s="34"/>
      <c r="P114" s="34"/>
      <c r="Q114" s="71" t="str" cm="1">
        <f t="array" ref="Q114">IF(SUMPRODUCT(--(B114:E114&lt;&gt;""))&gt;0,"○","")</f>
        <v/>
      </c>
      <c r="R114" s="35"/>
      <c r="S114" s="35"/>
      <c r="T114" s="35"/>
      <c r="U114" s="66"/>
      <c r="V114" s="29" t="str">
        <f t="shared" si="21"/>
        <v/>
      </c>
      <c r="W114" s="29" t="str">
        <f t="shared" si="22"/>
        <v/>
      </c>
      <c r="X114" s="30" t="str">
        <f t="shared" si="23"/>
        <v/>
      </c>
      <c r="Y114" s="36"/>
      <c r="Z114" s="37"/>
      <c r="AA114" s="37"/>
      <c r="JG114" s="31" t="str">
        <f t="shared" si="24"/>
        <v/>
      </c>
      <c r="JH114" s="31" t="str">
        <f t="shared" si="25"/>
        <v/>
      </c>
    </row>
    <row r="115" spans="1:268" s="31" customFormat="1" x14ac:dyDescent="0.4">
      <c r="A115" s="32"/>
      <c r="B115" s="32"/>
      <c r="C115" s="32"/>
      <c r="D115" s="32"/>
      <c r="E115" s="38"/>
      <c r="F115" s="61"/>
      <c r="G115" s="33"/>
      <c r="H115" s="33"/>
      <c r="I115" s="27" t="str">
        <f t="shared" si="19"/>
        <v/>
      </c>
      <c r="J115" s="33"/>
      <c r="K115" s="28">
        <f t="shared" si="17"/>
        <v>0</v>
      </c>
      <c r="L115" s="28">
        <f>IF(AND($Y115&lt;&gt;"",$X115&lt;&gt;""),MAX(0,ROUND(($X115*$Y115),0)-NETWORKDAYS.INTL($V115,基準日,1)),0)</f>
        <v>0</v>
      </c>
      <c r="M115" s="28">
        <f t="shared" ca="1" si="18"/>
        <v>0</v>
      </c>
      <c r="N115" s="28">
        <f t="shared" ca="1" si="20"/>
        <v>0</v>
      </c>
      <c r="O115" s="34"/>
      <c r="P115" s="34"/>
      <c r="Q115" s="71" t="str" cm="1">
        <f t="array" ref="Q115">IF(SUMPRODUCT(--(B115:E115&lt;&gt;""))&gt;0,"○","")</f>
        <v/>
      </c>
      <c r="R115" s="35"/>
      <c r="S115" s="35"/>
      <c r="T115" s="35"/>
      <c r="U115" s="66"/>
      <c r="V115" s="29" t="str">
        <f t="shared" si="21"/>
        <v/>
      </c>
      <c r="W115" s="29" t="str">
        <f t="shared" si="22"/>
        <v/>
      </c>
      <c r="X115" s="30" t="str">
        <f t="shared" si="23"/>
        <v/>
      </c>
      <c r="Y115" s="36"/>
      <c r="Z115" s="37"/>
      <c r="AA115" s="37"/>
      <c r="JG115" s="31" t="str">
        <f t="shared" si="24"/>
        <v/>
      </c>
      <c r="JH115" s="31" t="str">
        <f t="shared" si="25"/>
        <v/>
      </c>
    </row>
    <row r="116" spans="1:268" s="31" customFormat="1" x14ac:dyDescent="0.4">
      <c r="A116" s="32"/>
      <c r="B116" s="32"/>
      <c r="C116" s="32"/>
      <c r="D116" s="32"/>
      <c r="E116" s="38"/>
      <c r="F116" s="61"/>
      <c r="G116" s="33"/>
      <c r="H116" s="33"/>
      <c r="I116" s="27" t="str">
        <f t="shared" si="19"/>
        <v/>
      </c>
      <c r="J116" s="33"/>
      <c r="K116" s="28">
        <f t="shared" si="17"/>
        <v>0</v>
      </c>
      <c r="L116" s="28">
        <f>IF(AND($Y116&lt;&gt;"",$X116&lt;&gt;""),MAX(0,ROUND(($X116*$Y116),0)-NETWORKDAYS.INTL($V116,基準日,1)),0)</f>
        <v>0</v>
      </c>
      <c r="M116" s="28">
        <f t="shared" ca="1" si="18"/>
        <v>0</v>
      </c>
      <c r="N116" s="28">
        <f t="shared" ca="1" si="20"/>
        <v>0</v>
      </c>
      <c r="O116" s="34"/>
      <c r="P116" s="34"/>
      <c r="Q116" s="71" t="str" cm="1">
        <f t="array" ref="Q116">IF(SUMPRODUCT(--(B116:E116&lt;&gt;""))&gt;0,"○","")</f>
        <v/>
      </c>
      <c r="R116" s="35"/>
      <c r="S116" s="35"/>
      <c r="T116" s="35"/>
      <c r="U116" s="66"/>
      <c r="V116" s="29" t="str">
        <f t="shared" si="21"/>
        <v/>
      </c>
      <c r="W116" s="29" t="str">
        <f t="shared" si="22"/>
        <v/>
      </c>
      <c r="X116" s="30" t="str">
        <f t="shared" si="23"/>
        <v/>
      </c>
      <c r="Y116" s="36"/>
      <c r="Z116" s="37"/>
      <c r="AA116" s="37"/>
      <c r="JG116" s="31" t="str">
        <f t="shared" si="24"/>
        <v/>
      </c>
      <c r="JH116" s="31" t="str">
        <f t="shared" si="25"/>
        <v/>
      </c>
    </row>
    <row r="117" spans="1:268" s="31" customFormat="1" x14ac:dyDescent="0.4">
      <c r="A117" s="32"/>
      <c r="B117" s="32"/>
      <c r="C117" s="32"/>
      <c r="D117" s="32"/>
      <c r="E117" s="38"/>
      <c r="F117" s="61"/>
      <c r="G117" s="33"/>
      <c r="H117" s="33"/>
      <c r="I117" s="27" t="str">
        <f t="shared" si="19"/>
        <v/>
      </c>
      <c r="J117" s="33"/>
      <c r="K117" s="28">
        <f t="shared" si="17"/>
        <v>0</v>
      </c>
      <c r="L117" s="28">
        <f>IF(AND($Y117&lt;&gt;"",$X117&lt;&gt;""),MAX(0,ROUND(($X117*$Y117),0)-NETWORKDAYS.INTL($V117,基準日,1)),0)</f>
        <v>0</v>
      </c>
      <c r="M117" s="28">
        <f t="shared" ca="1" si="18"/>
        <v>0</v>
      </c>
      <c r="N117" s="28">
        <f t="shared" ca="1" si="20"/>
        <v>0</v>
      </c>
      <c r="O117" s="34"/>
      <c r="P117" s="34"/>
      <c r="Q117" s="71" t="str" cm="1">
        <f t="array" ref="Q117">IF(SUMPRODUCT(--(B117:E117&lt;&gt;""))&gt;0,"○","")</f>
        <v/>
      </c>
      <c r="R117" s="35"/>
      <c r="S117" s="35"/>
      <c r="T117" s="35"/>
      <c r="U117" s="66"/>
      <c r="V117" s="29" t="str">
        <f t="shared" si="21"/>
        <v/>
      </c>
      <c r="W117" s="29" t="str">
        <f t="shared" si="22"/>
        <v/>
      </c>
      <c r="X117" s="30" t="str">
        <f t="shared" si="23"/>
        <v/>
      </c>
      <c r="Y117" s="36"/>
      <c r="Z117" s="37"/>
      <c r="AA117" s="37"/>
      <c r="JG117" s="31" t="str">
        <f t="shared" si="24"/>
        <v/>
      </c>
      <c r="JH117" s="31" t="str">
        <f t="shared" si="25"/>
        <v/>
      </c>
    </row>
    <row r="118" spans="1:268" s="31" customFormat="1" x14ac:dyDescent="0.4">
      <c r="A118" s="32"/>
      <c r="B118" s="32"/>
      <c r="C118" s="32"/>
      <c r="D118" s="32"/>
      <c r="E118" s="38"/>
      <c r="F118" s="61"/>
      <c r="G118" s="33"/>
      <c r="H118" s="33"/>
      <c r="I118" s="27" t="str">
        <f t="shared" si="19"/>
        <v/>
      </c>
      <c r="J118" s="33"/>
      <c r="K118" s="28">
        <f t="shared" si="17"/>
        <v>0</v>
      </c>
      <c r="L118" s="28">
        <f>IF(AND($Y118&lt;&gt;"",$X118&lt;&gt;""),MAX(0,ROUND(($X118*$Y118),0)-NETWORKDAYS.INTL($V118,基準日,1)),0)</f>
        <v>0</v>
      </c>
      <c r="M118" s="28">
        <f t="shared" ca="1" si="18"/>
        <v>0</v>
      </c>
      <c r="N118" s="28">
        <f t="shared" ca="1" si="20"/>
        <v>0</v>
      </c>
      <c r="O118" s="34"/>
      <c r="P118" s="34"/>
      <c r="Q118" s="71" t="str" cm="1">
        <f t="array" ref="Q118">IF(SUMPRODUCT(--(B118:E118&lt;&gt;""))&gt;0,"○","")</f>
        <v/>
      </c>
      <c r="R118" s="35"/>
      <c r="S118" s="35"/>
      <c r="T118" s="35"/>
      <c r="U118" s="66"/>
      <c r="V118" s="29" t="str">
        <f t="shared" si="21"/>
        <v/>
      </c>
      <c r="W118" s="29" t="str">
        <f t="shared" si="22"/>
        <v/>
      </c>
      <c r="X118" s="30" t="str">
        <f t="shared" si="23"/>
        <v/>
      </c>
      <c r="Y118" s="36"/>
      <c r="Z118" s="37"/>
      <c r="AA118" s="37"/>
      <c r="JG118" s="31" t="str">
        <f t="shared" si="24"/>
        <v/>
      </c>
      <c r="JH118" s="31" t="str">
        <f t="shared" si="25"/>
        <v/>
      </c>
    </row>
    <row r="119" spans="1:268" s="31" customFormat="1" x14ac:dyDescent="0.4">
      <c r="A119" s="32"/>
      <c r="B119" s="32"/>
      <c r="C119" s="32"/>
      <c r="D119" s="32"/>
      <c r="E119" s="38"/>
      <c r="F119" s="61"/>
      <c r="G119" s="33"/>
      <c r="H119" s="33"/>
      <c r="I119" s="27" t="str">
        <f t="shared" si="19"/>
        <v/>
      </c>
      <c r="J119" s="33"/>
      <c r="K119" s="28">
        <f t="shared" si="17"/>
        <v>0</v>
      </c>
      <c r="L119" s="28">
        <f>IF(AND($Y119&lt;&gt;"",$X119&lt;&gt;""),MAX(0,ROUND(($X119*$Y119),0)-NETWORKDAYS.INTL($V119,基準日,1)),0)</f>
        <v>0</v>
      </c>
      <c r="M119" s="28">
        <f t="shared" ca="1" si="18"/>
        <v>0</v>
      </c>
      <c r="N119" s="28">
        <f t="shared" ca="1" si="20"/>
        <v>0</v>
      </c>
      <c r="O119" s="34"/>
      <c r="P119" s="34"/>
      <c r="Q119" s="71" t="str" cm="1">
        <f t="array" ref="Q119">IF(SUMPRODUCT(--(B119:E119&lt;&gt;""))&gt;0,"○","")</f>
        <v/>
      </c>
      <c r="R119" s="35"/>
      <c r="S119" s="35"/>
      <c r="T119" s="35"/>
      <c r="U119" s="66"/>
      <c r="V119" s="29" t="str">
        <f t="shared" si="21"/>
        <v/>
      </c>
      <c r="W119" s="29" t="str">
        <f t="shared" si="22"/>
        <v/>
      </c>
      <c r="X119" s="30" t="str">
        <f t="shared" si="23"/>
        <v/>
      </c>
      <c r="Y119" s="36"/>
      <c r="Z119" s="37"/>
      <c r="AA119" s="37"/>
      <c r="JG119" s="31" t="str">
        <f t="shared" si="24"/>
        <v/>
      </c>
      <c r="JH119" s="31" t="str">
        <f t="shared" si="25"/>
        <v/>
      </c>
    </row>
    <row r="120" spans="1:268" s="31" customFormat="1" x14ac:dyDescent="0.4">
      <c r="A120" s="32"/>
      <c r="B120" s="32"/>
      <c r="C120" s="32"/>
      <c r="D120" s="32"/>
      <c r="E120" s="38"/>
      <c r="F120" s="61"/>
      <c r="G120" s="33"/>
      <c r="H120" s="33"/>
      <c r="I120" s="27" t="str">
        <f t="shared" si="19"/>
        <v/>
      </c>
      <c r="J120" s="33"/>
      <c r="K120" s="28">
        <f t="shared" si="17"/>
        <v>0</v>
      </c>
      <c r="L120" s="28">
        <f>IF(AND($Y120&lt;&gt;"",$X120&lt;&gt;""),MAX(0,ROUND(($X120*$Y120),0)-NETWORKDAYS.INTL($V120,基準日,1)),0)</f>
        <v>0</v>
      </c>
      <c r="M120" s="28">
        <f t="shared" ca="1" si="18"/>
        <v>0</v>
      </c>
      <c r="N120" s="28">
        <f t="shared" ca="1" si="20"/>
        <v>0</v>
      </c>
      <c r="O120" s="34"/>
      <c r="P120" s="34"/>
      <c r="Q120" s="71" t="str" cm="1">
        <f t="array" ref="Q120">IF(SUMPRODUCT(--(B120:E120&lt;&gt;""))&gt;0,"○","")</f>
        <v/>
      </c>
      <c r="R120" s="35"/>
      <c r="S120" s="35"/>
      <c r="T120" s="35"/>
      <c r="U120" s="66"/>
      <c r="V120" s="29" t="str">
        <f t="shared" si="21"/>
        <v/>
      </c>
      <c r="W120" s="29" t="str">
        <f t="shared" si="22"/>
        <v/>
      </c>
      <c r="X120" s="30" t="str">
        <f t="shared" si="23"/>
        <v/>
      </c>
      <c r="Y120" s="36"/>
      <c r="Z120" s="37"/>
      <c r="AA120" s="37"/>
      <c r="JG120" s="31" t="str">
        <f t="shared" si="24"/>
        <v/>
      </c>
      <c r="JH120" s="31" t="str">
        <f t="shared" si="25"/>
        <v/>
      </c>
    </row>
    <row r="121" spans="1:268" s="31" customFormat="1" x14ac:dyDescent="0.4">
      <c r="A121" s="32"/>
      <c r="B121" s="32"/>
      <c r="C121" s="32"/>
      <c r="D121" s="32"/>
      <c r="E121" s="38"/>
      <c r="F121" s="61"/>
      <c r="G121" s="33"/>
      <c r="H121" s="33"/>
      <c r="I121" s="27" t="str">
        <f t="shared" si="19"/>
        <v/>
      </c>
      <c r="J121" s="33"/>
      <c r="K121" s="28">
        <f t="shared" si="17"/>
        <v>0</v>
      </c>
      <c r="L121" s="28">
        <f>IF(AND($Y121&lt;&gt;"",$X121&lt;&gt;""),MAX(0,ROUND(($X121*$Y121),0)-NETWORKDAYS.INTL($V121,基準日,1)),0)</f>
        <v>0</v>
      </c>
      <c r="M121" s="28">
        <f t="shared" ca="1" si="18"/>
        <v>0</v>
      </c>
      <c r="N121" s="28">
        <f t="shared" ca="1" si="20"/>
        <v>0</v>
      </c>
      <c r="O121" s="34"/>
      <c r="P121" s="34"/>
      <c r="Q121" s="71" t="str" cm="1">
        <f t="array" ref="Q121">IF(SUMPRODUCT(--(B121:E121&lt;&gt;""))&gt;0,"○","")</f>
        <v/>
      </c>
      <c r="R121" s="35"/>
      <c r="S121" s="35"/>
      <c r="T121" s="35"/>
      <c r="U121" s="66"/>
      <c r="V121" s="29" t="str">
        <f t="shared" si="21"/>
        <v/>
      </c>
      <c r="W121" s="29" t="str">
        <f t="shared" si="22"/>
        <v/>
      </c>
      <c r="X121" s="30" t="str">
        <f t="shared" si="23"/>
        <v/>
      </c>
      <c r="Y121" s="36"/>
      <c r="Z121" s="37"/>
      <c r="AA121" s="37"/>
      <c r="JG121" s="31" t="str">
        <f t="shared" si="24"/>
        <v/>
      </c>
      <c r="JH121" s="31" t="str">
        <f t="shared" si="25"/>
        <v/>
      </c>
    </row>
    <row r="122" spans="1:268" s="31" customFormat="1" x14ac:dyDescent="0.4">
      <c r="A122" s="32"/>
      <c r="B122" s="32"/>
      <c r="C122" s="32"/>
      <c r="D122" s="32"/>
      <c r="E122" s="38"/>
      <c r="F122" s="61"/>
      <c r="G122" s="33"/>
      <c r="H122" s="33"/>
      <c r="I122" s="27" t="str">
        <f t="shared" si="19"/>
        <v/>
      </c>
      <c r="J122" s="33"/>
      <c r="K122" s="28">
        <f t="shared" si="17"/>
        <v>0</v>
      </c>
      <c r="L122" s="28">
        <f>IF(AND($Y122&lt;&gt;"",$X122&lt;&gt;""),MAX(0,ROUND(($X122*$Y122),0)-NETWORKDAYS.INTL($V122,基準日,1)),0)</f>
        <v>0</v>
      </c>
      <c r="M122" s="28">
        <f t="shared" ca="1" si="18"/>
        <v>0</v>
      </c>
      <c r="N122" s="28">
        <f t="shared" ca="1" si="20"/>
        <v>0</v>
      </c>
      <c r="O122" s="34"/>
      <c r="P122" s="34"/>
      <c r="Q122" s="71" t="str" cm="1">
        <f t="array" ref="Q122">IF(SUMPRODUCT(--(B122:E122&lt;&gt;""))&gt;0,"○","")</f>
        <v/>
      </c>
      <c r="R122" s="35"/>
      <c r="S122" s="35"/>
      <c r="T122" s="35"/>
      <c r="U122" s="66"/>
      <c r="V122" s="29" t="str">
        <f t="shared" si="21"/>
        <v/>
      </c>
      <c r="W122" s="29" t="str">
        <f t="shared" si="22"/>
        <v/>
      </c>
      <c r="X122" s="30" t="str">
        <f t="shared" si="23"/>
        <v/>
      </c>
      <c r="Y122" s="36"/>
      <c r="Z122" s="37"/>
      <c r="AA122" s="37"/>
      <c r="JG122" s="31" t="str">
        <f t="shared" si="24"/>
        <v/>
      </c>
      <c r="JH122" s="31" t="str">
        <f t="shared" si="25"/>
        <v/>
      </c>
    </row>
    <row r="123" spans="1:268" s="31" customFormat="1" x14ac:dyDescent="0.4">
      <c r="A123" s="32"/>
      <c r="B123" s="32"/>
      <c r="C123" s="32"/>
      <c r="D123" s="32"/>
      <c r="E123" s="38"/>
      <c r="F123" s="61"/>
      <c r="G123" s="33"/>
      <c r="H123" s="33"/>
      <c r="I123" s="27" t="str">
        <f t="shared" si="19"/>
        <v/>
      </c>
      <c r="J123" s="33"/>
      <c r="K123" s="28">
        <f t="shared" si="17"/>
        <v>0</v>
      </c>
      <c r="L123" s="28">
        <f>IF(AND($Y123&lt;&gt;"",$X123&lt;&gt;""),MAX(0,ROUND(($X123*$Y123),0)-NETWORKDAYS.INTL($V123,基準日,1)),0)</f>
        <v>0</v>
      </c>
      <c r="M123" s="28">
        <f t="shared" ca="1" si="18"/>
        <v>0</v>
      </c>
      <c r="N123" s="28">
        <f t="shared" ca="1" si="20"/>
        <v>0</v>
      </c>
      <c r="O123" s="34"/>
      <c r="P123" s="34"/>
      <c r="Q123" s="71" t="str" cm="1">
        <f t="array" ref="Q123">IF(SUMPRODUCT(--(B123:E123&lt;&gt;""))&gt;0,"○","")</f>
        <v/>
      </c>
      <c r="R123" s="35"/>
      <c r="S123" s="35"/>
      <c r="T123" s="35"/>
      <c r="U123" s="66"/>
      <c r="V123" s="29" t="str">
        <f t="shared" si="21"/>
        <v/>
      </c>
      <c r="W123" s="29" t="str">
        <f t="shared" si="22"/>
        <v/>
      </c>
      <c r="X123" s="30" t="str">
        <f t="shared" si="23"/>
        <v/>
      </c>
      <c r="Y123" s="36"/>
      <c r="Z123" s="37"/>
      <c r="AA123" s="37"/>
      <c r="JG123" s="31" t="str">
        <f t="shared" si="24"/>
        <v/>
      </c>
      <c r="JH123" s="31" t="str">
        <f t="shared" si="25"/>
        <v/>
      </c>
    </row>
    <row r="124" spans="1:268" s="31" customFormat="1" x14ac:dyDescent="0.4">
      <c r="A124" s="32"/>
      <c r="B124" s="32"/>
      <c r="C124" s="32"/>
      <c r="D124" s="32"/>
      <c r="E124" s="38"/>
      <c r="F124" s="61"/>
      <c r="G124" s="33"/>
      <c r="H124" s="33"/>
      <c r="I124" s="27" t="str">
        <f t="shared" si="19"/>
        <v/>
      </c>
      <c r="J124" s="33"/>
      <c r="K124" s="28">
        <f t="shared" si="17"/>
        <v>0</v>
      </c>
      <c r="L124" s="28">
        <f>IF(AND($Y124&lt;&gt;"",$X124&lt;&gt;""),MAX(0,ROUND(($X124*$Y124),0)-NETWORKDAYS.INTL($V124,基準日,1)),0)</f>
        <v>0</v>
      </c>
      <c r="M124" s="28">
        <f t="shared" ca="1" si="18"/>
        <v>0</v>
      </c>
      <c r="N124" s="28">
        <f t="shared" ca="1" si="20"/>
        <v>0</v>
      </c>
      <c r="O124" s="34"/>
      <c r="P124" s="34"/>
      <c r="Q124" s="71" t="str" cm="1">
        <f t="array" ref="Q124">IF(SUMPRODUCT(--(B124:E124&lt;&gt;""))&gt;0,"○","")</f>
        <v/>
      </c>
      <c r="R124" s="35"/>
      <c r="S124" s="35"/>
      <c r="T124" s="35"/>
      <c r="U124" s="66"/>
      <c r="V124" s="29" t="str">
        <f t="shared" si="21"/>
        <v/>
      </c>
      <c r="W124" s="29" t="str">
        <f t="shared" si="22"/>
        <v/>
      </c>
      <c r="X124" s="30" t="str">
        <f t="shared" si="23"/>
        <v/>
      </c>
      <c r="Y124" s="36"/>
      <c r="Z124" s="37"/>
      <c r="AA124" s="37"/>
      <c r="JG124" s="31" t="str">
        <f t="shared" si="24"/>
        <v/>
      </c>
      <c r="JH124" s="31" t="str">
        <f t="shared" si="25"/>
        <v/>
      </c>
    </row>
    <row r="125" spans="1:268" s="31" customFormat="1" x14ac:dyDescent="0.4">
      <c r="A125" s="32"/>
      <c r="B125" s="32"/>
      <c r="C125" s="32"/>
      <c r="D125" s="32"/>
      <c r="E125" s="38"/>
      <c r="F125" s="61"/>
      <c r="G125" s="33"/>
      <c r="H125" s="33"/>
      <c r="I125" s="27" t="str">
        <f t="shared" si="19"/>
        <v/>
      </c>
      <c r="J125" s="33"/>
      <c r="K125" s="28">
        <f t="shared" si="17"/>
        <v>0</v>
      </c>
      <c r="L125" s="28">
        <f>IF(AND($Y125&lt;&gt;"",$X125&lt;&gt;""),MAX(0,ROUND(($X125*$Y125),0)-NETWORKDAYS.INTL($V125,基準日,1)),0)</f>
        <v>0</v>
      </c>
      <c r="M125" s="28">
        <f t="shared" ca="1" si="18"/>
        <v>0</v>
      </c>
      <c r="N125" s="28">
        <f t="shared" ca="1" si="20"/>
        <v>0</v>
      </c>
      <c r="O125" s="34"/>
      <c r="P125" s="34"/>
      <c r="Q125" s="71" t="str" cm="1">
        <f t="array" ref="Q125">IF(SUMPRODUCT(--(B125:E125&lt;&gt;""))&gt;0,"○","")</f>
        <v/>
      </c>
      <c r="R125" s="35"/>
      <c r="S125" s="35"/>
      <c r="T125" s="35"/>
      <c r="U125" s="66"/>
      <c r="V125" s="29" t="str">
        <f t="shared" si="21"/>
        <v/>
      </c>
      <c r="W125" s="29" t="str">
        <f t="shared" si="22"/>
        <v/>
      </c>
      <c r="X125" s="30" t="str">
        <f t="shared" si="23"/>
        <v/>
      </c>
      <c r="Y125" s="36"/>
      <c r="Z125" s="37"/>
      <c r="AA125" s="37"/>
      <c r="JG125" s="31" t="str">
        <f t="shared" si="24"/>
        <v/>
      </c>
      <c r="JH125" s="31" t="str">
        <f t="shared" si="25"/>
        <v/>
      </c>
    </row>
    <row r="126" spans="1:268" s="31" customFormat="1" x14ac:dyDescent="0.4">
      <c r="A126" s="32"/>
      <c r="B126" s="32"/>
      <c r="C126" s="32"/>
      <c r="D126" s="32"/>
      <c r="E126" s="38"/>
      <c r="F126" s="61"/>
      <c r="G126" s="33"/>
      <c r="H126" s="33"/>
      <c r="I126" s="27" t="str">
        <f t="shared" si="19"/>
        <v/>
      </c>
      <c r="J126" s="33"/>
      <c r="K126" s="28">
        <f t="shared" si="17"/>
        <v>0</v>
      </c>
      <c r="L126" s="28">
        <f>IF(AND($Y126&lt;&gt;"",$X126&lt;&gt;""),MAX(0,ROUND(($X126*$Y126),0)-NETWORKDAYS.INTL($V126,基準日,1)),0)</f>
        <v>0</v>
      </c>
      <c r="M126" s="28">
        <f t="shared" ca="1" si="18"/>
        <v>0</v>
      </c>
      <c r="N126" s="28">
        <f t="shared" ca="1" si="20"/>
        <v>0</v>
      </c>
      <c r="O126" s="34"/>
      <c r="P126" s="34"/>
      <c r="Q126" s="71" t="str" cm="1">
        <f t="array" ref="Q126">IF(SUMPRODUCT(--(B126:E126&lt;&gt;""))&gt;0,"○","")</f>
        <v/>
      </c>
      <c r="R126" s="35"/>
      <c r="S126" s="35"/>
      <c r="T126" s="35"/>
      <c r="U126" s="66"/>
      <c r="V126" s="29" t="str">
        <f t="shared" si="21"/>
        <v/>
      </c>
      <c r="W126" s="29" t="str">
        <f t="shared" si="22"/>
        <v/>
      </c>
      <c r="X126" s="30" t="str">
        <f t="shared" si="23"/>
        <v/>
      </c>
      <c r="Y126" s="36"/>
      <c r="Z126" s="37"/>
      <c r="AA126" s="37"/>
      <c r="JG126" s="31" t="str">
        <f t="shared" si="24"/>
        <v/>
      </c>
      <c r="JH126" s="31" t="str">
        <f t="shared" si="25"/>
        <v/>
      </c>
    </row>
    <row r="127" spans="1:268" s="31" customFormat="1" x14ac:dyDescent="0.4">
      <c r="A127" s="32"/>
      <c r="B127" s="32"/>
      <c r="C127" s="32"/>
      <c r="D127" s="32"/>
      <c r="E127" s="38"/>
      <c r="F127" s="61"/>
      <c r="G127" s="33"/>
      <c r="H127" s="33"/>
      <c r="I127" s="27" t="str">
        <f t="shared" si="19"/>
        <v/>
      </c>
      <c r="J127" s="33"/>
      <c r="K127" s="28">
        <f t="shared" si="17"/>
        <v>0</v>
      </c>
      <c r="L127" s="28">
        <f>IF(AND($Y127&lt;&gt;"",$X127&lt;&gt;""),MAX(0,ROUND(($X127*$Y127),0)-NETWORKDAYS.INTL($V127,基準日,1)),0)</f>
        <v>0</v>
      </c>
      <c r="M127" s="28">
        <f t="shared" ca="1" si="18"/>
        <v>0</v>
      </c>
      <c r="N127" s="28">
        <f t="shared" ca="1" si="20"/>
        <v>0</v>
      </c>
      <c r="O127" s="34"/>
      <c r="P127" s="34"/>
      <c r="Q127" s="71" t="str" cm="1">
        <f t="array" ref="Q127">IF(SUMPRODUCT(--(B127:E127&lt;&gt;""))&gt;0,"○","")</f>
        <v/>
      </c>
      <c r="R127" s="35"/>
      <c r="S127" s="35"/>
      <c r="T127" s="35"/>
      <c r="U127" s="66"/>
      <c r="V127" s="29" t="str">
        <f t="shared" si="21"/>
        <v/>
      </c>
      <c r="W127" s="29" t="str">
        <f t="shared" si="22"/>
        <v/>
      </c>
      <c r="X127" s="30" t="str">
        <f t="shared" si="23"/>
        <v/>
      </c>
      <c r="Y127" s="36"/>
      <c r="Z127" s="37"/>
      <c r="AA127" s="37"/>
      <c r="JG127" s="31" t="str">
        <f t="shared" si="24"/>
        <v/>
      </c>
      <c r="JH127" s="31" t="str">
        <f t="shared" si="25"/>
        <v/>
      </c>
    </row>
    <row r="128" spans="1:268" s="31" customFormat="1" x14ac:dyDescent="0.4">
      <c r="A128" s="32"/>
      <c r="B128" s="32"/>
      <c r="C128" s="32"/>
      <c r="D128" s="32"/>
      <c r="E128" s="38"/>
      <c r="F128" s="61"/>
      <c r="G128" s="33"/>
      <c r="H128" s="33"/>
      <c r="I128" s="27" t="str">
        <f t="shared" si="19"/>
        <v/>
      </c>
      <c r="J128" s="33"/>
      <c r="K128" s="28">
        <f t="shared" si="17"/>
        <v>0</v>
      </c>
      <c r="L128" s="28">
        <f>IF(AND($Y128&lt;&gt;"",$X128&lt;&gt;""),MAX(0,ROUND(($X128*$Y128),0)-NETWORKDAYS.INTL($V128,基準日,1)),0)</f>
        <v>0</v>
      </c>
      <c r="M128" s="28">
        <f t="shared" ca="1" si="18"/>
        <v>0</v>
      </c>
      <c r="N128" s="28">
        <f t="shared" ca="1" si="20"/>
        <v>0</v>
      </c>
      <c r="O128" s="34"/>
      <c r="P128" s="34"/>
      <c r="Q128" s="71" t="str" cm="1">
        <f t="array" ref="Q128">IF(SUMPRODUCT(--(B128:E128&lt;&gt;""))&gt;0,"○","")</f>
        <v/>
      </c>
      <c r="R128" s="35"/>
      <c r="S128" s="35"/>
      <c r="T128" s="35"/>
      <c r="U128" s="66"/>
      <c r="V128" s="29" t="str">
        <f t="shared" si="21"/>
        <v/>
      </c>
      <c r="W128" s="29" t="str">
        <f t="shared" si="22"/>
        <v/>
      </c>
      <c r="X128" s="30" t="str">
        <f t="shared" si="23"/>
        <v/>
      </c>
      <c r="Y128" s="36"/>
      <c r="Z128" s="37"/>
      <c r="AA128" s="37"/>
      <c r="JG128" s="31" t="str">
        <f t="shared" si="24"/>
        <v/>
      </c>
      <c r="JH128" s="31" t="str">
        <f t="shared" si="25"/>
        <v/>
      </c>
    </row>
    <row r="129" spans="1:268" s="31" customFormat="1" x14ac:dyDescent="0.4">
      <c r="A129" s="32"/>
      <c r="B129" s="32"/>
      <c r="C129" s="32"/>
      <c r="D129" s="32"/>
      <c r="E129" s="38"/>
      <c r="F129" s="61"/>
      <c r="G129" s="33"/>
      <c r="H129" s="33"/>
      <c r="I129" s="27" t="str">
        <f t="shared" si="19"/>
        <v/>
      </c>
      <c r="J129" s="33"/>
      <c r="K129" s="28">
        <f t="shared" si="17"/>
        <v>0</v>
      </c>
      <c r="L129" s="28">
        <f>IF(AND($Y129&lt;&gt;"",$X129&lt;&gt;""),MAX(0,ROUND(($X129*$Y129),0)-NETWORKDAYS.INTL($V129,基準日,1)),0)</f>
        <v>0</v>
      </c>
      <c r="M129" s="28">
        <f t="shared" ca="1" si="18"/>
        <v>0</v>
      </c>
      <c r="N129" s="28">
        <f t="shared" ca="1" si="20"/>
        <v>0</v>
      </c>
      <c r="O129" s="34"/>
      <c r="P129" s="34"/>
      <c r="Q129" s="71" t="str" cm="1">
        <f t="array" ref="Q129">IF(SUMPRODUCT(--(B129:E129&lt;&gt;""))&gt;0,"○","")</f>
        <v/>
      </c>
      <c r="R129" s="35"/>
      <c r="S129" s="35"/>
      <c r="T129" s="35"/>
      <c r="U129" s="66"/>
      <c r="V129" s="29" t="str">
        <f t="shared" si="21"/>
        <v/>
      </c>
      <c r="W129" s="29" t="str">
        <f t="shared" si="22"/>
        <v/>
      </c>
      <c r="X129" s="30" t="str">
        <f t="shared" si="23"/>
        <v/>
      </c>
      <c r="Y129" s="36"/>
      <c r="Z129" s="37"/>
      <c r="AA129" s="37"/>
      <c r="JG129" s="31" t="str">
        <f t="shared" si="24"/>
        <v/>
      </c>
      <c r="JH129" s="31" t="str">
        <f t="shared" si="25"/>
        <v/>
      </c>
    </row>
    <row r="130" spans="1:268" s="31" customFormat="1" x14ac:dyDescent="0.4">
      <c r="A130" s="32"/>
      <c r="B130" s="32"/>
      <c r="C130" s="32"/>
      <c r="D130" s="32"/>
      <c r="E130" s="38"/>
      <c r="F130" s="61"/>
      <c r="G130" s="33"/>
      <c r="H130" s="33"/>
      <c r="I130" s="27" t="str">
        <f t="shared" si="19"/>
        <v/>
      </c>
      <c r="J130" s="33"/>
      <c r="K130" s="28">
        <f t="shared" si="17"/>
        <v>0</v>
      </c>
      <c r="L130" s="28">
        <f>IF(AND($Y130&lt;&gt;"",$X130&lt;&gt;""),MAX(0,ROUND(($X130*$Y130),0)-NETWORKDAYS.INTL($V130,基準日,1)),0)</f>
        <v>0</v>
      </c>
      <c r="M130" s="28">
        <f t="shared" ca="1" si="18"/>
        <v>0</v>
      </c>
      <c r="N130" s="28">
        <f t="shared" ca="1" si="20"/>
        <v>0</v>
      </c>
      <c r="O130" s="34"/>
      <c r="P130" s="34"/>
      <c r="Q130" s="71" t="str" cm="1">
        <f t="array" ref="Q130">IF(SUMPRODUCT(--(B130:E130&lt;&gt;""))&gt;0,"○","")</f>
        <v/>
      </c>
      <c r="R130" s="35"/>
      <c r="S130" s="35"/>
      <c r="T130" s="35"/>
      <c r="U130" s="66"/>
      <c r="V130" s="29" t="str">
        <f t="shared" si="21"/>
        <v/>
      </c>
      <c r="W130" s="29" t="str">
        <f t="shared" si="22"/>
        <v/>
      </c>
      <c r="X130" s="30" t="str">
        <f t="shared" si="23"/>
        <v/>
      </c>
      <c r="Y130" s="36"/>
      <c r="Z130" s="37"/>
      <c r="AA130" s="37"/>
      <c r="JG130" s="31" t="str">
        <f t="shared" si="24"/>
        <v/>
      </c>
      <c r="JH130" s="31" t="str">
        <f t="shared" si="25"/>
        <v/>
      </c>
    </row>
    <row r="131" spans="1:268" s="31" customFormat="1" x14ac:dyDescent="0.4">
      <c r="A131" s="32"/>
      <c r="B131" s="32"/>
      <c r="C131" s="32"/>
      <c r="D131" s="32"/>
      <c r="E131" s="38"/>
      <c r="F131" s="61"/>
      <c r="G131" s="33"/>
      <c r="H131" s="33"/>
      <c r="I131" s="27" t="str">
        <f t="shared" si="19"/>
        <v/>
      </c>
      <c r="J131" s="33"/>
      <c r="K131" s="28">
        <f t="shared" si="17"/>
        <v>0</v>
      </c>
      <c r="L131" s="28">
        <f>IF(AND($Y131&lt;&gt;"",$X131&lt;&gt;""),MAX(0,ROUND(($X131*$Y131),0)-NETWORKDAYS.INTL($V131,基準日,1)),0)</f>
        <v>0</v>
      </c>
      <c r="M131" s="28">
        <f t="shared" ca="1" si="18"/>
        <v>0</v>
      </c>
      <c r="N131" s="28">
        <f t="shared" ca="1" si="20"/>
        <v>0</v>
      </c>
      <c r="O131" s="34"/>
      <c r="P131" s="34"/>
      <c r="Q131" s="71" t="str" cm="1">
        <f t="array" ref="Q131">IF(SUMPRODUCT(--(B131:E131&lt;&gt;""))&gt;0,"○","")</f>
        <v/>
      </c>
      <c r="R131" s="35"/>
      <c r="S131" s="35"/>
      <c r="T131" s="35"/>
      <c r="U131" s="66"/>
      <c r="V131" s="29" t="str">
        <f t="shared" si="21"/>
        <v/>
      </c>
      <c r="W131" s="29" t="str">
        <f t="shared" si="22"/>
        <v/>
      </c>
      <c r="X131" s="30" t="str">
        <f t="shared" si="23"/>
        <v/>
      </c>
      <c r="Y131" s="36"/>
      <c r="Z131" s="37"/>
      <c r="AA131" s="37"/>
      <c r="JG131" s="31" t="str">
        <f t="shared" si="24"/>
        <v/>
      </c>
      <c r="JH131" s="31" t="str">
        <f t="shared" si="25"/>
        <v/>
      </c>
    </row>
    <row r="132" spans="1:268" s="31" customFormat="1" x14ac:dyDescent="0.4">
      <c r="A132" s="32"/>
      <c r="B132" s="32"/>
      <c r="C132" s="32"/>
      <c r="D132" s="32"/>
      <c r="E132" s="38"/>
      <c r="F132" s="61"/>
      <c r="G132" s="33"/>
      <c r="H132" s="33"/>
      <c r="I132" s="27" t="str">
        <f t="shared" si="19"/>
        <v/>
      </c>
      <c r="J132" s="33"/>
      <c r="K132" s="28">
        <f t="shared" si="17"/>
        <v>0</v>
      </c>
      <c r="L132" s="28">
        <f>IF(AND($Y132&lt;&gt;"",$X132&lt;&gt;""),MAX(0,ROUND(($X132*$Y132),0)-NETWORKDAYS.INTL($V132,基準日,1)),0)</f>
        <v>0</v>
      </c>
      <c r="M132" s="28">
        <f t="shared" ca="1" si="18"/>
        <v>0</v>
      </c>
      <c r="N132" s="28">
        <f t="shared" ca="1" si="20"/>
        <v>0</v>
      </c>
      <c r="O132" s="34"/>
      <c r="P132" s="34"/>
      <c r="Q132" s="71" t="str" cm="1">
        <f t="array" ref="Q132">IF(SUMPRODUCT(--(B132:E132&lt;&gt;""))&gt;0,"○","")</f>
        <v/>
      </c>
      <c r="R132" s="35"/>
      <c r="S132" s="35"/>
      <c r="T132" s="35"/>
      <c r="U132" s="66"/>
      <c r="V132" s="29" t="str">
        <f t="shared" si="21"/>
        <v/>
      </c>
      <c r="W132" s="29" t="str">
        <f t="shared" si="22"/>
        <v/>
      </c>
      <c r="X132" s="30" t="str">
        <f t="shared" si="23"/>
        <v/>
      </c>
      <c r="Y132" s="36"/>
      <c r="Z132" s="37"/>
      <c r="AA132" s="37"/>
      <c r="JG132" s="31" t="str">
        <f t="shared" si="24"/>
        <v/>
      </c>
      <c r="JH132" s="31" t="str">
        <f t="shared" si="25"/>
        <v/>
      </c>
    </row>
    <row r="133" spans="1:268" s="31" customFormat="1" x14ac:dyDescent="0.4">
      <c r="A133" s="32"/>
      <c r="B133" s="32"/>
      <c r="C133" s="32"/>
      <c r="D133" s="32"/>
      <c r="E133" s="38"/>
      <c r="F133" s="61"/>
      <c r="G133" s="33"/>
      <c r="H133" s="33"/>
      <c r="I133" s="27" t="str">
        <f t="shared" si="19"/>
        <v/>
      </c>
      <c r="J133" s="33"/>
      <c r="K133" s="28">
        <f t="shared" ref="K133:K196" si="26">IF($Z133&lt;&gt;"",IF($W133&gt;=$Z133,$W133-$Z133,$X133)*$Y133,0)</f>
        <v>0</v>
      </c>
      <c r="L133" s="28">
        <f>IF(AND($Y133&lt;&gt;"",$X133&lt;&gt;""),MAX(0,ROUND(($X133*$Y133),0)-NETWORKDAYS.INTL($V133,基準日,1)),0)</f>
        <v>0</v>
      </c>
      <c r="M133" s="28">
        <f t="shared" ref="M133:M196" ca="1" si="27">IF(AND(IFERROR(VALUE($X133),0),$Z133="",$V133&lt;基準日),基準日-$V133,0)</f>
        <v>0</v>
      </c>
      <c r="N133" s="28">
        <f t="shared" ca="1" si="20"/>
        <v>0</v>
      </c>
      <c r="O133" s="34"/>
      <c r="P133" s="34"/>
      <c r="Q133" s="71" t="str" cm="1">
        <f t="array" ref="Q133">IF(SUMPRODUCT(--(B133:E133&lt;&gt;""))&gt;0,"○","")</f>
        <v/>
      </c>
      <c r="R133" s="35"/>
      <c r="S133" s="35"/>
      <c r="T133" s="35"/>
      <c r="U133" s="66"/>
      <c r="V133" s="29" t="str">
        <f t="shared" si="21"/>
        <v/>
      </c>
      <c r="W133" s="29" t="str">
        <f t="shared" si="22"/>
        <v/>
      </c>
      <c r="X133" s="30" t="str">
        <f t="shared" si="23"/>
        <v/>
      </c>
      <c r="Y133" s="36"/>
      <c r="Z133" s="37"/>
      <c r="AA133" s="37"/>
      <c r="JG133" s="31" t="str">
        <f t="shared" si="24"/>
        <v/>
      </c>
      <c r="JH133" s="31" t="str">
        <f t="shared" si="25"/>
        <v/>
      </c>
    </row>
    <row r="134" spans="1:268" s="31" customFormat="1" x14ac:dyDescent="0.4">
      <c r="A134" s="32"/>
      <c r="B134" s="32"/>
      <c r="C134" s="32"/>
      <c r="D134" s="32"/>
      <c r="E134" s="38"/>
      <c r="F134" s="61"/>
      <c r="G134" s="33"/>
      <c r="H134" s="33"/>
      <c r="I134" s="27" t="str">
        <f t="shared" ref="I134:I197" si="28">IF(ISBLANK(G134),"","○")</f>
        <v/>
      </c>
      <c r="J134" s="33"/>
      <c r="K134" s="28">
        <f t="shared" si="26"/>
        <v>0</v>
      </c>
      <c r="L134" s="28">
        <f>IF(AND($Y134&lt;&gt;"",$X134&lt;&gt;""),MAX(0,ROUND(($X134*$Y134),0)-NETWORKDAYS.INTL($V134,基準日,1)),0)</f>
        <v>0</v>
      </c>
      <c r="M134" s="28">
        <f t="shared" ca="1" si="27"/>
        <v>0</v>
      </c>
      <c r="N134" s="28">
        <f t="shared" ref="N134:N197" ca="1" si="29">MAX(L134:M134)</f>
        <v>0</v>
      </c>
      <c r="O134" s="34"/>
      <c r="P134" s="34"/>
      <c r="Q134" s="71" t="str" cm="1">
        <f t="array" ref="Q134">IF(SUMPRODUCT(--(B134:E134&lt;&gt;""))&gt;0,"○","")</f>
        <v/>
      </c>
      <c r="R134" s="35"/>
      <c r="S134" s="35"/>
      <c r="T134" s="35"/>
      <c r="U134" s="66"/>
      <c r="V134" s="29" t="str">
        <f t="shared" ref="V134:V197" si="30">IF(NOT(ISBLANK(S134)),S134,IF(AND(NOT(ISBLANK(T134)),NOT(ISBLANK(U134))),IF(NOT(JH134),T134-U134+1,WORKDAY.INTL(T134,-U134+1,1)),""))</f>
        <v/>
      </c>
      <c r="W134" s="29" t="str">
        <f t="shared" ref="W134:W197" si="31">IF(NOT(ISBLANK(T134)),T134,IF(AND(NOT(ISBLANK(S134)),NOT(ISBLANK(U134))),IF(NOT(JG134),S134+U134-1,WORKDAY.INTL(S134,U134-1,1)),""))</f>
        <v/>
      </c>
      <c r="X134" s="30" t="str">
        <f t="shared" ref="X134:X197" si="32">IF(NOT(ISBLANK(U134)),U134,IF(AND(NOT(ISBLANK(S134)),NOT(ISBLANK(T134))),IF(S134&lt;=T134,IF(OR(NOT(JG134),NOT(JH134)),T134-S134+1,NETWORKDAYS.INTL(S134,T134,1)),0),""))</f>
        <v/>
      </c>
      <c r="Y134" s="36"/>
      <c r="Z134" s="37"/>
      <c r="AA134" s="37"/>
      <c r="JG134" s="31" t="str">
        <f t="shared" ref="JG134:JG197" si="33">IF(ISBLANK(S134),"",IF(OR(WEEKDAY(S134,2)=6,WEEKDAY(S134,2)=7),FALSE,TRUE))</f>
        <v/>
      </c>
      <c r="JH134" s="31" t="str">
        <f t="shared" ref="JH134:JH197" si="34">IF(ISBLANK(T134),"",IF(OR(WEEKDAY(T134,2)=6,WEEKDAY(T134,2)=7),FALSE,TRUE))</f>
        <v/>
      </c>
    </row>
    <row r="135" spans="1:268" s="31" customFormat="1" x14ac:dyDescent="0.4">
      <c r="A135" s="32"/>
      <c r="B135" s="32"/>
      <c r="C135" s="32"/>
      <c r="D135" s="32"/>
      <c r="E135" s="38"/>
      <c r="F135" s="61"/>
      <c r="G135" s="33"/>
      <c r="H135" s="33"/>
      <c r="I135" s="27" t="str">
        <f t="shared" si="28"/>
        <v/>
      </c>
      <c r="J135" s="33"/>
      <c r="K135" s="28">
        <f t="shared" si="26"/>
        <v>0</v>
      </c>
      <c r="L135" s="28">
        <f>IF(AND($Y135&lt;&gt;"",$X135&lt;&gt;""),MAX(0,ROUND(($X135*$Y135),0)-NETWORKDAYS.INTL($V135,基準日,1)),0)</f>
        <v>0</v>
      </c>
      <c r="M135" s="28">
        <f t="shared" ca="1" si="27"/>
        <v>0</v>
      </c>
      <c r="N135" s="28">
        <f t="shared" ca="1" si="29"/>
        <v>0</v>
      </c>
      <c r="O135" s="34"/>
      <c r="P135" s="34"/>
      <c r="Q135" s="71" t="str" cm="1">
        <f t="array" ref="Q135">IF(SUMPRODUCT(--(B135:E135&lt;&gt;""))&gt;0,"○","")</f>
        <v/>
      </c>
      <c r="R135" s="35"/>
      <c r="S135" s="35"/>
      <c r="T135" s="35"/>
      <c r="U135" s="66"/>
      <c r="V135" s="29" t="str">
        <f t="shared" si="30"/>
        <v/>
      </c>
      <c r="W135" s="29" t="str">
        <f t="shared" si="31"/>
        <v/>
      </c>
      <c r="X135" s="30" t="str">
        <f t="shared" si="32"/>
        <v/>
      </c>
      <c r="Y135" s="36"/>
      <c r="Z135" s="37"/>
      <c r="AA135" s="37"/>
      <c r="JG135" s="31" t="str">
        <f t="shared" si="33"/>
        <v/>
      </c>
      <c r="JH135" s="31" t="str">
        <f t="shared" si="34"/>
        <v/>
      </c>
    </row>
    <row r="136" spans="1:268" s="31" customFormat="1" x14ac:dyDescent="0.4">
      <c r="A136" s="32"/>
      <c r="B136" s="32"/>
      <c r="C136" s="32"/>
      <c r="D136" s="32"/>
      <c r="E136" s="38"/>
      <c r="F136" s="61"/>
      <c r="G136" s="33"/>
      <c r="H136" s="33"/>
      <c r="I136" s="27" t="str">
        <f t="shared" si="28"/>
        <v/>
      </c>
      <c r="J136" s="33"/>
      <c r="K136" s="28">
        <f t="shared" si="26"/>
        <v>0</v>
      </c>
      <c r="L136" s="28">
        <f>IF(AND($Y136&lt;&gt;"",$X136&lt;&gt;""),MAX(0,ROUND(($X136*$Y136),0)-NETWORKDAYS.INTL($V136,基準日,1)),0)</f>
        <v>0</v>
      </c>
      <c r="M136" s="28">
        <f t="shared" ca="1" si="27"/>
        <v>0</v>
      </c>
      <c r="N136" s="28">
        <f t="shared" ca="1" si="29"/>
        <v>0</v>
      </c>
      <c r="O136" s="34"/>
      <c r="P136" s="34"/>
      <c r="Q136" s="71" t="str" cm="1">
        <f t="array" ref="Q136">IF(SUMPRODUCT(--(B136:E136&lt;&gt;""))&gt;0,"○","")</f>
        <v/>
      </c>
      <c r="R136" s="35"/>
      <c r="S136" s="35"/>
      <c r="T136" s="35"/>
      <c r="U136" s="66"/>
      <c r="V136" s="29" t="str">
        <f t="shared" si="30"/>
        <v/>
      </c>
      <c r="W136" s="29" t="str">
        <f t="shared" si="31"/>
        <v/>
      </c>
      <c r="X136" s="30" t="str">
        <f t="shared" si="32"/>
        <v/>
      </c>
      <c r="Y136" s="36"/>
      <c r="Z136" s="37"/>
      <c r="AA136" s="37"/>
      <c r="JG136" s="31" t="str">
        <f t="shared" si="33"/>
        <v/>
      </c>
      <c r="JH136" s="31" t="str">
        <f t="shared" si="34"/>
        <v/>
      </c>
    </row>
    <row r="137" spans="1:268" s="31" customFormat="1" x14ac:dyDescent="0.4">
      <c r="A137" s="32"/>
      <c r="B137" s="32"/>
      <c r="C137" s="32"/>
      <c r="D137" s="32"/>
      <c r="E137" s="38"/>
      <c r="F137" s="61"/>
      <c r="G137" s="33"/>
      <c r="H137" s="33"/>
      <c r="I137" s="27" t="str">
        <f t="shared" si="28"/>
        <v/>
      </c>
      <c r="J137" s="33"/>
      <c r="K137" s="28">
        <f t="shared" si="26"/>
        <v>0</v>
      </c>
      <c r="L137" s="28">
        <f>IF(AND($Y137&lt;&gt;"",$X137&lt;&gt;""),MAX(0,ROUND(($X137*$Y137),0)-NETWORKDAYS.INTL($V137,基準日,1)),0)</f>
        <v>0</v>
      </c>
      <c r="M137" s="28">
        <f t="shared" ca="1" si="27"/>
        <v>0</v>
      </c>
      <c r="N137" s="28">
        <f t="shared" ca="1" si="29"/>
        <v>0</v>
      </c>
      <c r="O137" s="34"/>
      <c r="P137" s="34"/>
      <c r="Q137" s="71" t="str" cm="1">
        <f t="array" ref="Q137">IF(SUMPRODUCT(--(B137:E137&lt;&gt;""))&gt;0,"○","")</f>
        <v/>
      </c>
      <c r="R137" s="35"/>
      <c r="S137" s="35"/>
      <c r="T137" s="35"/>
      <c r="U137" s="66"/>
      <c r="V137" s="29" t="str">
        <f t="shared" si="30"/>
        <v/>
      </c>
      <c r="W137" s="29" t="str">
        <f t="shared" si="31"/>
        <v/>
      </c>
      <c r="X137" s="30" t="str">
        <f t="shared" si="32"/>
        <v/>
      </c>
      <c r="Y137" s="36"/>
      <c r="Z137" s="37"/>
      <c r="AA137" s="37"/>
      <c r="JG137" s="31" t="str">
        <f t="shared" si="33"/>
        <v/>
      </c>
      <c r="JH137" s="31" t="str">
        <f t="shared" si="34"/>
        <v/>
      </c>
    </row>
    <row r="138" spans="1:268" s="31" customFormat="1" x14ac:dyDescent="0.4">
      <c r="A138" s="32"/>
      <c r="B138" s="32"/>
      <c r="C138" s="32"/>
      <c r="D138" s="32"/>
      <c r="E138" s="38"/>
      <c r="F138" s="61"/>
      <c r="G138" s="33"/>
      <c r="H138" s="33"/>
      <c r="I138" s="27" t="str">
        <f t="shared" si="28"/>
        <v/>
      </c>
      <c r="J138" s="33"/>
      <c r="K138" s="28">
        <f t="shared" si="26"/>
        <v>0</v>
      </c>
      <c r="L138" s="28">
        <f>IF(AND($Y138&lt;&gt;"",$X138&lt;&gt;""),MAX(0,ROUND(($X138*$Y138),0)-NETWORKDAYS.INTL($V138,基準日,1)),0)</f>
        <v>0</v>
      </c>
      <c r="M138" s="28">
        <f t="shared" ca="1" si="27"/>
        <v>0</v>
      </c>
      <c r="N138" s="28">
        <f t="shared" ca="1" si="29"/>
        <v>0</v>
      </c>
      <c r="O138" s="34"/>
      <c r="P138" s="34"/>
      <c r="Q138" s="71" t="str" cm="1">
        <f t="array" ref="Q138">IF(SUMPRODUCT(--(B138:E138&lt;&gt;""))&gt;0,"○","")</f>
        <v/>
      </c>
      <c r="R138" s="35"/>
      <c r="S138" s="35"/>
      <c r="T138" s="35"/>
      <c r="U138" s="66"/>
      <c r="V138" s="29" t="str">
        <f t="shared" si="30"/>
        <v/>
      </c>
      <c r="W138" s="29" t="str">
        <f t="shared" si="31"/>
        <v/>
      </c>
      <c r="X138" s="30" t="str">
        <f t="shared" si="32"/>
        <v/>
      </c>
      <c r="Y138" s="36"/>
      <c r="Z138" s="37"/>
      <c r="AA138" s="37"/>
      <c r="JG138" s="31" t="str">
        <f t="shared" si="33"/>
        <v/>
      </c>
      <c r="JH138" s="31" t="str">
        <f t="shared" si="34"/>
        <v/>
      </c>
    </row>
    <row r="139" spans="1:268" s="31" customFormat="1" x14ac:dyDescent="0.4">
      <c r="A139" s="32"/>
      <c r="B139" s="32"/>
      <c r="C139" s="32"/>
      <c r="D139" s="32"/>
      <c r="E139" s="38"/>
      <c r="F139" s="61"/>
      <c r="G139" s="33"/>
      <c r="H139" s="33"/>
      <c r="I139" s="27" t="str">
        <f t="shared" si="28"/>
        <v/>
      </c>
      <c r="J139" s="33"/>
      <c r="K139" s="28">
        <f t="shared" si="26"/>
        <v>0</v>
      </c>
      <c r="L139" s="28">
        <f>IF(AND($Y139&lt;&gt;"",$X139&lt;&gt;""),MAX(0,ROUND(($X139*$Y139),0)-NETWORKDAYS.INTL($V139,基準日,1)),0)</f>
        <v>0</v>
      </c>
      <c r="M139" s="28">
        <f t="shared" ca="1" si="27"/>
        <v>0</v>
      </c>
      <c r="N139" s="28">
        <f t="shared" ca="1" si="29"/>
        <v>0</v>
      </c>
      <c r="O139" s="34"/>
      <c r="P139" s="34"/>
      <c r="Q139" s="71" t="str" cm="1">
        <f t="array" ref="Q139">IF(SUMPRODUCT(--(B139:E139&lt;&gt;""))&gt;0,"○","")</f>
        <v/>
      </c>
      <c r="R139" s="35"/>
      <c r="S139" s="35"/>
      <c r="T139" s="35"/>
      <c r="U139" s="66"/>
      <c r="V139" s="29" t="str">
        <f t="shared" si="30"/>
        <v/>
      </c>
      <c r="W139" s="29" t="str">
        <f t="shared" si="31"/>
        <v/>
      </c>
      <c r="X139" s="30" t="str">
        <f t="shared" si="32"/>
        <v/>
      </c>
      <c r="Y139" s="36"/>
      <c r="Z139" s="37"/>
      <c r="AA139" s="37"/>
      <c r="JG139" s="31" t="str">
        <f t="shared" si="33"/>
        <v/>
      </c>
      <c r="JH139" s="31" t="str">
        <f t="shared" si="34"/>
        <v/>
      </c>
    </row>
    <row r="140" spans="1:268" s="31" customFormat="1" x14ac:dyDescent="0.4">
      <c r="A140" s="32"/>
      <c r="B140" s="32"/>
      <c r="C140" s="32"/>
      <c r="D140" s="32"/>
      <c r="E140" s="38"/>
      <c r="F140" s="61"/>
      <c r="G140" s="33"/>
      <c r="H140" s="33"/>
      <c r="I140" s="27" t="str">
        <f t="shared" si="28"/>
        <v/>
      </c>
      <c r="J140" s="33"/>
      <c r="K140" s="28">
        <f t="shared" si="26"/>
        <v>0</v>
      </c>
      <c r="L140" s="28">
        <f>IF(AND($Y140&lt;&gt;"",$X140&lt;&gt;""),MAX(0,ROUND(($X140*$Y140),0)-NETWORKDAYS.INTL($V140,基準日,1)),0)</f>
        <v>0</v>
      </c>
      <c r="M140" s="28">
        <f t="shared" ca="1" si="27"/>
        <v>0</v>
      </c>
      <c r="N140" s="28">
        <f t="shared" ca="1" si="29"/>
        <v>0</v>
      </c>
      <c r="O140" s="34"/>
      <c r="P140" s="34"/>
      <c r="Q140" s="71" t="str" cm="1">
        <f t="array" ref="Q140">IF(SUMPRODUCT(--(B140:E140&lt;&gt;""))&gt;0,"○","")</f>
        <v/>
      </c>
      <c r="R140" s="35"/>
      <c r="S140" s="35"/>
      <c r="T140" s="35"/>
      <c r="U140" s="66"/>
      <c r="V140" s="29" t="str">
        <f t="shared" si="30"/>
        <v/>
      </c>
      <c r="W140" s="29" t="str">
        <f t="shared" si="31"/>
        <v/>
      </c>
      <c r="X140" s="30" t="str">
        <f t="shared" si="32"/>
        <v/>
      </c>
      <c r="Y140" s="36"/>
      <c r="Z140" s="37"/>
      <c r="AA140" s="37"/>
      <c r="JG140" s="31" t="str">
        <f t="shared" si="33"/>
        <v/>
      </c>
      <c r="JH140" s="31" t="str">
        <f t="shared" si="34"/>
        <v/>
      </c>
    </row>
    <row r="141" spans="1:268" s="31" customFormat="1" x14ac:dyDescent="0.4">
      <c r="A141" s="32"/>
      <c r="B141" s="32"/>
      <c r="C141" s="32"/>
      <c r="D141" s="32"/>
      <c r="E141" s="38"/>
      <c r="F141" s="61"/>
      <c r="G141" s="33"/>
      <c r="H141" s="33"/>
      <c r="I141" s="27" t="str">
        <f t="shared" si="28"/>
        <v/>
      </c>
      <c r="J141" s="33"/>
      <c r="K141" s="28">
        <f t="shared" si="26"/>
        <v>0</v>
      </c>
      <c r="L141" s="28">
        <f>IF(AND($Y141&lt;&gt;"",$X141&lt;&gt;""),MAX(0,ROUND(($X141*$Y141),0)-NETWORKDAYS.INTL($V141,基準日,1)),0)</f>
        <v>0</v>
      </c>
      <c r="M141" s="28">
        <f t="shared" ca="1" si="27"/>
        <v>0</v>
      </c>
      <c r="N141" s="28">
        <f t="shared" ca="1" si="29"/>
        <v>0</v>
      </c>
      <c r="O141" s="34"/>
      <c r="P141" s="34"/>
      <c r="Q141" s="71" t="str" cm="1">
        <f t="array" ref="Q141">IF(SUMPRODUCT(--(B141:E141&lt;&gt;""))&gt;0,"○","")</f>
        <v/>
      </c>
      <c r="R141" s="35"/>
      <c r="S141" s="35"/>
      <c r="T141" s="35"/>
      <c r="U141" s="66"/>
      <c r="V141" s="29" t="str">
        <f t="shared" si="30"/>
        <v/>
      </c>
      <c r="W141" s="29" t="str">
        <f t="shared" si="31"/>
        <v/>
      </c>
      <c r="X141" s="30" t="str">
        <f t="shared" si="32"/>
        <v/>
      </c>
      <c r="Y141" s="36"/>
      <c r="Z141" s="37"/>
      <c r="AA141" s="37"/>
      <c r="JG141" s="31" t="str">
        <f t="shared" si="33"/>
        <v/>
      </c>
      <c r="JH141" s="31" t="str">
        <f t="shared" si="34"/>
        <v/>
      </c>
    </row>
    <row r="142" spans="1:268" s="31" customFormat="1" x14ac:dyDescent="0.4">
      <c r="A142" s="32"/>
      <c r="B142" s="32"/>
      <c r="C142" s="32"/>
      <c r="D142" s="32"/>
      <c r="E142" s="38"/>
      <c r="F142" s="61"/>
      <c r="G142" s="33"/>
      <c r="H142" s="33"/>
      <c r="I142" s="27" t="str">
        <f t="shared" si="28"/>
        <v/>
      </c>
      <c r="J142" s="33"/>
      <c r="K142" s="28">
        <f t="shared" si="26"/>
        <v>0</v>
      </c>
      <c r="L142" s="28">
        <f>IF(AND($Y142&lt;&gt;"",$X142&lt;&gt;""),MAX(0,ROUND(($X142*$Y142),0)-NETWORKDAYS.INTL($V142,基準日,1)),0)</f>
        <v>0</v>
      </c>
      <c r="M142" s="28">
        <f t="shared" ca="1" si="27"/>
        <v>0</v>
      </c>
      <c r="N142" s="28">
        <f t="shared" ca="1" si="29"/>
        <v>0</v>
      </c>
      <c r="O142" s="34"/>
      <c r="P142" s="34"/>
      <c r="Q142" s="71" t="str" cm="1">
        <f t="array" ref="Q142">IF(SUMPRODUCT(--(B142:E142&lt;&gt;""))&gt;0,"○","")</f>
        <v/>
      </c>
      <c r="R142" s="35"/>
      <c r="S142" s="35"/>
      <c r="T142" s="35"/>
      <c r="U142" s="66"/>
      <c r="V142" s="29" t="str">
        <f t="shared" si="30"/>
        <v/>
      </c>
      <c r="W142" s="29" t="str">
        <f t="shared" si="31"/>
        <v/>
      </c>
      <c r="X142" s="30" t="str">
        <f t="shared" si="32"/>
        <v/>
      </c>
      <c r="Y142" s="36"/>
      <c r="Z142" s="37"/>
      <c r="AA142" s="37"/>
      <c r="JG142" s="31" t="str">
        <f t="shared" si="33"/>
        <v/>
      </c>
      <c r="JH142" s="31" t="str">
        <f t="shared" si="34"/>
        <v/>
      </c>
    </row>
    <row r="143" spans="1:268" s="31" customFormat="1" x14ac:dyDescent="0.4">
      <c r="A143" s="32"/>
      <c r="B143" s="32"/>
      <c r="C143" s="32"/>
      <c r="D143" s="32"/>
      <c r="E143" s="38"/>
      <c r="F143" s="61"/>
      <c r="G143" s="33"/>
      <c r="H143" s="33"/>
      <c r="I143" s="27" t="str">
        <f t="shared" si="28"/>
        <v/>
      </c>
      <c r="J143" s="33"/>
      <c r="K143" s="28">
        <f t="shared" si="26"/>
        <v>0</v>
      </c>
      <c r="L143" s="28">
        <f>IF(AND($Y143&lt;&gt;"",$X143&lt;&gt;""),MAX(0,ROUND(($X143*$Y143),0)-NETWORKDAYS.INTL($V143,基準日,1)),0)</f>
        <v>0</v>
      </c>
      <c r="M143" s="28">
        <f t="shared" ca="1" si="27"/>
        <v>0</v>
      </c>
      <c r="N143" s="28">
        <f t="shared" ca="1" si="29"/>
        <v>0</v>
      </c>
      <c r="O143" s="34"/>
      <c r="P143" s="34"/>
      <c r="Q143" s="71" t="str" cm="1">
        <f t="array" ref="Q143">IF(SUMPRODUCT(--(B143:E143&lt;&gt;""))&gt;0,"○","")</f>
        <v/>
      </c>
      <c r="R143" s="35"/>
      <c r="S143" s="35"/>
      <c r="T143" s="35"/>
      <c r="U143" s="66"/>
      <c r="V143" s="29" t="str">
        <f t="shared" si="30"/>
        <v/>
      </c>
      <c r="W143" s="29" t="str">
        <f t="shared" si="31"/>
        <v/>
      </c>
      <c r="X143" s="30" t="str">
        <f t="shared" si="32"/>
        <v/>
      </c>
      <c r="Y143" s="36"/>
      <c r="Z143" s="37"/>
      <c r="AA143" s="37"/>
      <c r="JG143" s="31" t="str">
        <f t="shared" si="33"/>
        <v/>
      </c>
      <c r="JH143" s="31" t="str">
        <f t="shared" si="34"/>
        <v/>
      </c>
    </row>
    <row r="144" spans="1:268" s="31" customFormat="1" x14ac:dyDescent="0.4">
      <c r="A144" s="32"/>
      <c r="B144" s="32"/>
      <c r="C144" s="32"/>
      <c r="D144" s="32"/>
      <c r="E144" s="38"/>
      <c r="F144" s="61"/>
      <c r="G144" s="33"/>
      <c r="H144" s="33"/>
      <c r="I144" s="27" t="str">
        <f t="shared" si="28"/>
        <v/>
      </c>
      <c r="J144" s="33"/>
      <c r="K144" s="28">
        <f t="shared" si="26"/>
        <v>0</v>
      </c>
      <c r="L144" s="28">
        <f>IF(AND($Y144&lt;&gt;"",$X144&lt;&gt;""),MAX(0,ROUND(($X144*$Y144),0)-NETWORKDAYS.INTL($V144,基準日,1)),0)</f>
        <v>0</v>
      </c>
      <c r="M144" s="28">
        <f t="shared" ca="1" si="27"/>
        <v>0</v>
      </c>
      <c r="N144" s="28">
        <f t="shared" ca="1" si="29"/>
        <v>0</v>
      </c>
      <c r="O144" s="34"/>
      <c r="P144" s="34"/>
      <c r="Q144" s="71" t="str" cm="1">
        <f t="array" ref="Q144">IF(SUMPRODUCT(--(B144:E144&lt;&gt;""))&gt;0,"○","")</f>
        <v/>
      </c>
      <c r="R144" s="35"/>
      <c r="S144" s="35"/>
      <c r="T144" s="35"/>
      <c r="U144" s="66"/>
      <c r="V144" s="29" t="str">
        <f t="shared" si="30"/>
        <v/>
      </c>
      <c r="W144" s="29" t="str">
        <f t="shared" si="31"/>
        <v/>
      </c>
      <c r="X144" s="30" t="str">
        <f t="shared" si="32"/>
        <v/>
      </c>
      <c r="Y144" s="36"/>
      <c r="Z144" s="37"/>
      <c r="AA144" s="37"/>
      <c r="JG144" s="31" t="str">
        <f t="shared" si="33"/>
        <v/>
      </c>
      <c r="JH144" s="31" t="str">
        <f t="shared" si="34"/>
        <v/>
      </c>
    </row>
    <row r="145" spans="1:268" s="31" customFormat="1" x14ac:dyDescent="0.4">
      <c r="A145" s="32"/>
      <c r="B145" s="32"/>
      <c r="C145" s="32"/>
      <c r="D145" s="32"/>
      <c r="E145" s="38"/>
      <c r="F145" s="61"/>
      <c r="G145" s="33"/>
      <c r="H145" s="33"/>
      <c r="I145" s="27" t="str">
        <f t="shared" si="28"/>
        <v/>
      </c>
      <c r="J145" s="33"/>
      <c r="K145" s="28">
        <f t="shared" si="26"/>
        <v>0</v>
      </c>
      <c r="L145" s="28">
        <f>IF(AND($Y145&lt;&gt;"",$X145&lt;&gt;""),MAX(0,ROUND(($X145*$Y145),0)-NETWORKDAYS.INTL($V145,基準日,1)),0)</f>
        <v>0</v>
      </c>
      <c r="M145" s="28">
        <f t="shared" ca="1" si="27"/>
        <v>0</v>
      </c>
      <c r="N145" s="28">
        <f t="shared" ca="1" si="29"/>
        <v>0</v>
      </c>
      <c r="O145" s="34"/>
      <c r="P145" s="34"/>
      <c r="Q145" s="71" t="str" cm="1">
        <f t="array" ref="Q145">IF(SUMPRODUCT(--(B145:E145&lt;&gt;""))&gt;0,"○","")</f>
        <v/>
      </c>
      <c r="R145" s="35"/>
      <c r="S145" s="35"/>
      <c r="T145" s="35"/>
      <c r="U145" s="66"/>
      <c r="V145" s="29" t="str">
        <f t="shared" si="30"/>
        <v/>
      </c>
      <c r="W145" s="29" t="str">
        <f t="shared" si="31"/>
        <v/>
      </c>
      <c r="X145" s="30" t="str">
        <f t="shared" si="32"/>
        <v/>
      </c>
      <c r="Y145" s="36"/>
      <c r="Z145" s="37"/>
      <c r="AA145" s="37"/>
      <c r="JG145" s="31" t="str">
        <f t="shared" si="33"/>
        <v/>
      </c>
      <c r="JH145" s="31" t="str">
        <f t="shared" si="34"/>
        <v/>
      </c>
    </row>
    <row r="146" spans="1:268" s="31" customFormat="1" x14ac:dyDescent="0.4">
      <c r="A146" s="32"/>
      <c r="B146" s="32"/>
      <c r="C146" s="32"/>
      <c r="D146" s="32"/>
      <c r="E146" s="38"/>
      <c r="F146" s="61"/>
      <c r="G146" s="33"/>
      <c r="H146" s="33"/>
      <c r="I146" s="27" t="str">
        <f t="shared" si="28"/>
        <v/>
      </c>
      <c r="J146" s="33"/>
      <c r="K146" s="28">
        <f t="shared" si="26"/>
        <v>0</v>
      </c>
      <c r="L146" s="28">
        <f>IF(AND($Y146&lt;&gt;"",$X146&lt;&gt;""),MAX(0,ROUND(($X146*$Y146),0)-NETWORKDAYS.INTL($V146,基準日,1)),0)</f>
        <v>0</v>
      </c>
      <c r="M146" s="28">
        <f t="shared" ca="1" si="27"/>
        <v>0</v>
      </c>
      <c r="N146" s="28">
        <f t="shared" ca="1" si="29"/>
        <v>0</v>
      </c>
      <c r="O146" s="34"/>
      <c r="P146" s="34"/>
      <c r="Q146" s="71" t="str" cm="1">
        <f t="array" ref="Q146">IF(SUMPRODUCT(--(B146:E146&lt;&gt;""))&gt;0,"○","")</f>
        <v/>
      </c>
      <c r="R146" s="35"/>
      <c r="S146" s="35"/>
      <c r="T146" s="35"/>
      <c r="U146" s="66"/>
      <c r="V146" s="29" t="str">
        <f t="shared" si="30"/>
        <v/>
      </c>
      <c r="W146" s="29" t="str">
        <f t="shared" si="31"/>
        <v/>
      </c>
      <c r="X146" s="30" t="str">
        <f t="shared" si="32"/>
        <v/>
      </c>
      <c r="Y146" s="36"/>
      <c r="Z146" s="37"/>
      <c r="AA146" s="37"/>
      <c r="JG146" s="31" t="str">
        <f t="shared" si="33"/>
        <v/>
      </c>
      <c r="JH146" s="31" t="str">
        <f t="shared" si="34"/>
        <v/>
      </c>
    </row>
    <row r="147" spans="1:268" s="31" customFormat="1" x14ac:dyDescent="0.4">
      <c r="A147" s="32"/>
      <c r="B147" s="32"/>
      <c r="C147" s="32"/>
      <c r="D147" s="32"/>
      <c r="E147" s="38"/>
      <c r="F147" s="61"/>
      <c r="G147" s="33"/>
      <c r="H147" s="33"/>
      <c r="I147" s="27" t="str">
        <f t="shared" si="28"/>
        <v/>
      </c>
      <c r="J147" s="33"/>
      <c r="K147" s="28">
        <f t="shared" si="26"/>
        <v>0</v>
      </c>
      <c r="L147" s="28">
        <f>IF(AND($Y147&lt;&gt;"",$X147&lt;&gt;""),MAX(0,ROUND(($X147*$Y147),0)-NETWORKDAYS.INTL($V147,基準日,1)),0)</f>
        <v>0</v>
      </c>
      <c r="M147" s="28">
        <f t="shared" ca="1" si="27"/>
        <v>0</v>
      </c>
      <c r="N147" s="28">
        <f t="shared" ca="1" si="29"/>
        <v>0</v>
      </c>
      <c r="O147" s="34"/>
      <c r="P147" s="34"/>
      <c r="Q147" s="71" t="str" cm="1">
        <f t="array" ref="Q147">IF(SUMPRODUCT(--(B147:E147&lt;&gt;""))&gt;0,"○","")</f>
        <v/>
      </c>
      <c r="R147" s="35"/>
      <c r="S147" s="35"/>
      <c r="T147" s="35"/>
      <c r="U147" s="66"/>
      <c r="V147" s="29" t="str">
        <f t="shared" si="30"/>
        <v/>
      </c>
      <c r="W147" s="29" t="str">
        <f t="shared" si="31"/>
        <v/>
      </c>
      <c r="X147" s="30" t="str">
        <f t="shared" si="32"/>
        <v/>
      </c>
      <c r="Y147" s="36"/>
      <c r="Z147" s="37"/>
      <c r="AA147" s="37"/>
      <c r="JG147" s="31" t="str">
        <f t="shared" si="33"/>
        <v/>
      </c>
      <c r="JH147" s="31" t="str">
        <f t="shared" si="34"/>
        <v/>
      </c>
    </row>
    <row r="148" spans="1:268" s="31" customFormat="1" x14ac:dyDescent="0.4">
      <c r="A148" s="32"/>
      <c r="B148" s="32"/>
      <c r="C148" s="32"/>
      <c r="D148" s="32"/>
      <c r="E148" s="38"/>
      <c r="F148" s="61"/>
      <c r="G148" s="33"/>
      <c r="H148" s="33"/>
      <c r="I148" s="27" t="str">
        <f t="shared" si="28"/>
        <v/>
      </c>
      <c r="J148" s="33"/>
      <c r="K148" s="28">
        <f t="shared" si="26"/>
        <v>0</v>
      </c>
      <c r="L148" s="28">
        <f>IF(AND($Y148&lt;&gt;"",$X148&lt;&gt;""),MAX(0,ROUND(($X148*$Y148),0)-NETWORKDAYS.INTL($V148,基準日,1)),0)</f>
        <v>0</v>
      </c>
      <c r="M148" s="28">
        <f t="shared" ca="1" si="27"/>
        <v>0</v>
      </c>
      <c r="N148" s="28">
        <f t="shared" ca="1" si="29"/>
        <v>0</v>
      </c>
      <c r="O148" s="34"/>
      <c r="P148" s="34"/>
      <c r="Q148" s="71" t="str" cm="1">
        <f t="array" ref="Q148">IF(SUMPRODUCT(--(B148:E148&lt;&gt;""))&gt;0,"○","")</f>
        <v/>
      </c>
      <c r="R148" s="35"/>
      <c r="S148" s="35"/>
      <c r="T148" s="35"/>
      <c r="U148" s="66"/>
      <c r="V148" s="29" t="str">
        <f t="shared" si="30"/>
        <v/>
      </c>
      <c r="W148" s="29" t="str">
        <f t="shared" si="31"/>
        <v/>
      </c>
      <c r="X148" s="30" t="str">
        <f t="shared" si="32"/>
        <v/>
      </c>
      <c r="Y148" s="36"/>
      <c r="Z148" s="37"/>
      <c r="AA148" s="37"/>
      <c r="JG148" s="31" t="str">
        <f t="shared" si="33"/>
        <v/>
      </c>
      <c r="JH148" s="31" t="str">
        <f t="shared" si="34"/>
        <v/>
      </c>
    </row>
    <row r="149" spans="1:268" s="31" customFormat="1" x14ac:dyDescent="0.4">
      <c r="A149" s="32"/>
      <c r="B149" s="32"/>
      <c r="C149" s="32"/>
      <c r="D149" s="32"/>
      <c r="E149" s="38"/>
      <c r="F149" s="61"/>
      <c r="G149" s="33"/>
      <c r="H149" s="33"/>
      <c r="I149" s="27" t="str">
        <f t="shared" si="28"/>
        <v/>
      </c>
      <c r="J149" s="33"/>
      <c r="K149" s="28">
        <f t="shared" si="26"/>
        <v>0</v>
      </c>
      <c r="L149" s="28">
        <f>IF(AND($Y149&lt;&gt;"",$X149&lt;&gt;""),MAX(0,ROUND(($X149*$Y149),0)-NETWORKDAYS.INTL($V149,基準日,1)),0)</f>
        <v>0</v>
      </c>
      <c r="M149" s="28">
        <f t="shared" ca="1" si="27"/>
        <v>0</v>
      </c>
      <c r="N149" s="28">
        <f t="shared" ca="1" si="29"/>
        <v>0</v>
      </c>
      <c r="O149" s="34"/>
      <c r="P149" s="34"/>
      <c r="Q149" s="71" t="str" cm="1">
        <f t="array" ref="Q149">IF(SUMPRODUCT(--(B149:E149&lt;&gt;""))&gt;0,"○","")</f>
        <v/>
      </c>
      <c r="R149" s="35"/>
      <c r="S149" s="35"/>
      <c r="T149" s="35"/>
      <c r="U149" s="66"/>
      <c r="V149" s="29" t="str">
        <f t="shared" si="30"/>
        <v/>
      </c>
      <c r="W149" s="29" t="str">
        <f t="shared" si="31"/>
        <v/>
      </c>
      <c r="X149" s="30" t="str">
        <f t="shared" si="32"/>
        <v/>
      </c>
      <c r="Y149" s="36"/>
      <c r="Z149" s="37"/>
      <c r="AA149" s="37"/>
      <c r="JG149" s="31" t="str">
        <f t="shared" si="33"/>
        <v/>
      </c>
      <c r="JH149" s="31" t="str">
        <f t="shared" si="34"/>
        <v/>
      </c>
    </row>
    <row r="150" spans="1:268" s="31" customFormat="1" x14ac:dyDescent="0.4">
      <c r="A150" s="32"/>
      <c r="B150" s="32"/>
      <c r="C150" s="32"/>
      <c r="D150" s="32"/>
      <c r="E150" s="38"/>
      <c r="F150" s="61"/>
      <c r="G150" s="33"/>
      <c r="H150" s="33"/>
      <c r="I150" s="27" t="str">
        <f t="shared" si="28"/>
        <v/>
      </c>
      <c r="J150" s="33"/>
      <c r="K150" s="28">
        <f t="shared" si="26"/>
        <v>0</v>
      </c>
      <c r="L150" s="28">
        <f>IF(AND($Y150&lt;&gt;"",$X150&lt;&gt;""),MAX(0,ROUND(($X150*$Y150),0)-NETWORKDAYS.INTL($V150,基準日,1)),0)</f>
        <v>0</v>
      </c>
      <c r="M150" s="28">
        <f t="shared" ca="1" si="27"/>
        <v>0</v>
      </c>
      <c r="N150" s="28">
        <f t="shared" ca="1" si="29"/>
        <v>0</v>
      </c>
      <c r="O150" s="34"/>
      <c r="P150" s="34"/>
      <c r="Q150" s="71" t="str" cm="1">
        <f t="array" ref="Q150">IF(SUMPRODUCT(--(B150:E150&lt;&gt;""))&gt;0,"○","")</f>
        <v/>
      </c>
      <c r="R150" s="35"/>
      <c r="S150" s="35"/>
      <c r="T150" s="35"/>
      <c r="U150" s="66"/>
      <c r="V150" s="29" t="str">
        <f t="shared" si="30"/>
        <v/>
      </c>
      <c r="W150" s="29" t="str">
        <f t="shared" si="31"/>
        <v/>
      </c>
      <c r="X150" s="30" t="str">
        <f t="shared" si="32"/>
        <v/>
      </c>
      <c r="Y150" s="36"/>
      <c r="Z150" s="37"/>
      <c r="AA150" s="37"/>
      <c r="JG150" s="31" t="str">
        <f t="shared" si="33"/>
        <v/>
      </c>
      <c r="JH150" s="31" t="str">
        <f t="shared" si="34"/>
        <v/>
      </c>
    </row>
    <row r="151" spans="1:268" s="31" customFormat="1" x14ac:dyDescent="0.4">
      <c r="A151" s="32"/>
      <c r="B151" s="32"/>
      <c r="C151" s="32"/>
      <c r="D151" s="32"/>
      <c r="E151" s="38"/>
      <c r="F151" s="61"/>
      <c r="G151" s="33"/>
      <c r="H151" s="33"/>
      <c r="I151" s="27" t="str">
        <f t="shared" si="28"/>
        <v/>
      </c>
      <c r="J151" s="33"/>
      <c r="K151" s="28">
        <f t="shared" si="26"/>
        <v>0</v>
      </c>
      <c r="L151" s="28">
        <f>IF(AND($Y151&lt;&gt;"",$X151&lt;&gt;""),MAX(0,ROUND(($X151*$Y151),0)-NETWORKDAYS.INTL($V151,基準日,1)),0)</f>
        <v>0</v>
      </c>
      <c r="M151" s="28">
        <f t="shared" ca="1" si="27"/>
        <v>0</v>
      </c>
      <c r="N151" s="28">
        <f t="shared" ca="1" si="29"/>
        <v>0</v>
      </c>
      <c r="O151" s="34"/>
      <c r="P151" s="34"/>
      <c r="Q151" s="71" t="str" cm="1">
        <f t="array" ref="Q151">IF(SUMPRODUCT(--(B151:E151&lt;&gt;""))&gt;0,"○","")</f>
        <v/>
      </c>
      <c r="R151" s="35"/>
      <c r="S151" s="35"/>
      <c r="T151" s="35"/>
      <c r="U151" s="66"/>
      <c r="V151" s="29" t="str">
        <f t="shared" si="30"/>
        <v/>
      </c>
      <c r="W151" s="29" t="str">
        <f t="shared" si="31"/>
        <v/>
      </c>
      <c r="X151" s="30" t="str">
        <f t="shared" si="32"/>
        <v/>
      </c>
      <c r="Y151" s="36"/>
      <c r="Z151" s="37"/>
      <c r="AA151" s="37"/>
      <c r="JG151" s="31" t="str">
        <f t="shared" si="33"/>
        <v/>
      </c>
      <c r="JH151" s="31" t="str">
        <f t="shared" si="34"/>
        <v/>
      </c>
    </row>
    <row r="152" spans="1:268" s="31" customFormat="1" x14ac:dyDescent="0.4">
      <c r="A152" s="32"/>
      <c r="B152" s="32"/>
      <c r="C152" s="32"/>
      <c r="D152" s="32"/>
      <c r="E152" s="38"/>
      <c r="F152" s="61"/>
      <c r="G152" s="33"/>
      <c r="H152" s="33"/>
      <c r="I152" s="27" t="str">
        <f t="shared" si="28"/>
        <v/>
      </c>
      <c r="J152" s="33"/>
      <c r="K152" s="28">
        <f t="shared" si="26"/>
        <v>0</v>
      </c>
      <c r="L152" s="28">
        <f>IF(AND($Y152&lt;&gt;"",$X152&lt;&gt;""),MAX(0,ROUND(($X152*$Y152),0)-NETWORKDAYS.INTL($V152,基準日,1)),0)</f>
        <v>0</v>
      </c>
      <c r="M152" s="28">
        <f t="shared" ca="1" si="27"/>
        <v>0</v>
      </c>
      <c r="N152" s="28">
        <f t="shared" ca="1" si="29"/>
        <v>0</v>
      </c>
      <c r="O152" s="34"/>
      <c r="P152" s="34"/>
      <c r="Q152" s="71" t="str" cm="1">
        <f t="array" ref="Q152">IF(SUMPRODUCT(--(B152:E152&lt;&gt;""))&gt;0,"○","")</f>
        <v/>
      </c>
      <c r="R152" s="35"/>
      <c r="S152" s="35"/>
      <c r="T152" s="35"/>
      <c r="U152" s="66"/>
      <c r="V152" s="29" t="str">
        <f t="shared" si="30"/>
        <v/>
      </c>
      <c r="W152" s="29" t="str">
        <f t="shared" si="31"/>
        <v/>
      </c>
      <c r="X152" s="30" t="str">
        <f t="shared" si="32"/>
        <v/>
      </c>
      <c r="Y152" s="36"/>
      <c r="Z152" s="37"/>
      <c r="AA152" s="37"/>
      <c r="JG152" s="31" t="str">
        <f t="shared" si="33"/>
        <v/>
      </c>
      <c r="JH152" s="31" t="str">
        <f t="shared" si="34"/>
        <v/>
      </c>
    </row>
    <row r="153" spans="1:268" s="31" customFormat="1" x14ac:dyDescent="0.4">
      <c r="A153" s="32"/>
      <c r="B153" s="32"/>
      <c r="C153" s="32"/>
      <c r="D153" s="32"/>
      <c r="E153" s="38"/>
      <c r="F153" s="61"/>
      <c r="G153" s="33"/>
      <c r="H153" s="33"/>
      <c r="I153" s="27" t="str">
        <f t="shared" si="28"/>
        <v/>
      </c>
      <c r="J153" s="33"/>
      <c r="K153" s="28">
        <f t="shared" si="26"/>
        <v>0</v>
      </c>
      <c r="L153" s="28">
        <f>IF(AND($Y153&lt;&gt;"",$X153&lt;&gt;""),MAX(0,ROUND(($X153*$Y153),0)-NETWORKDAYS.INTL($V153,基準日,1)),0)</f>
        <v>0</v>
      </c>
      <c r="M153" s="28">
        <f t="shared" ca="1" si="27"/>
        <v>0</v>
      </c>
      <c r="N153" s="28">
        <f t="shared" ca="1" si="29"/>
        <v>0</v>
      </c>
      <c r="O153" s="34"/>
      <c r="P153" s="34"/>
      <c r="Q153" s="71" t="str" cm="1">
        <f t="array" ref="Q153">IF(SUMPRODUCT(--(B153:E153&lt;&gt;""))&gt;0,"○","")</f>
        <v/>
      </c>
      <c r="R153" s="35"/>
      <c r="S153" s="35"/>
      <c r="T153" s="35"/>
      <c r="U153" s="66"/>
      <c r="V153" s="29" t="str">
        <f t="shared" si="30"/>
        <v/>
      </c>
      <c r="W153" s="29" t="str">
        <f t="shared" si="31"/>
        <v/>
      </c>
      <c r="X153" s="30" t="str">
        <f t="shared" si="32"/>
        <v/>
      </c>
      <c r="Y153" s="36"/>
      <c r="Z153" s="37"/>
      <c r="AA153" s="37"/>
      <c r="JG153" s="31" t="str">
        <f t="shared" si="33"/>
        <v/>
      </c>
      <c r="JH153" s="31" t="str">
        <f t="shared" si="34"/>
        <v/>
      </c>
    </row>
    <row r="154" spans="1:268" s="31" customFormat="1" x14ac:dyDescent="0.4">
      <c r="A154" s="32"/>
      <c r="B154" s="32"/>
      <c r="C154" s="32"/>
      <c r="D154" s="32"/>
      <c r="E154" s="38"/>
      <c r="F154" s="61"/>
      <c r="G154" s="33"/>
      <c r="H154" s="33"/>
      <c r="I154" s="27" t="str">
        <f t="shared" si="28"/>
        <v/>
      </c>
      <c r="J154" s="33"/>
      <c r="K154" s="28">
        <f t="shared" si="26"/>
        <v>0</v>
      </c>
      <c r="L154" s="28">
        <f>IF(AND($Y154&lt;&gt;"",$X154&lt;&gt;""),MAX(0,ROUND(($X154*$Y154),0)-NETWORKDAYS.INTL($V154,基準日,1)),0)</f>
        <v>0</v>
      </c>
      <c r="M154" s="28">
        <f t="shared" ca="1" si="27"/>
        <v>0</v>
      </c>
      <c r="N154" s="28">
        <f t="shared" ca="1" si="29"/>
        <v>0</v>
      </c>
      <c r="O154" s="34"/>
      <c r="P154" s="34"/>
      <c r="Q154" s="71" t="str" cm="1">
        <f t="array" ref="Q154">IF(SUMPRODUCT(--(B154:E154&lt;&gt;""))&gt;0,"○","")</f>
        <v/>
      </c>
      <c r="R154" s="35"/>
      <c r="S154" s="35"/>
      <c r="T154" s="35"/>
      <c r="U154" s="66"/>
      <c r="V154" s="29" t="str">
        <f t="shared" si="30"/>
        <v/>
      </c>
      <c r="W154" s="29" t="str">
        <f t="shared" si="31"/>
        <v/>
      </c>
      <c r="X154" s="30" t="str">
        <f t="shared" si="32"/>
        <v/>
      </c>
      <c r="Y154" s="36"/>
      <c r="Z154" s="37"/>
      <c r="AA154" s="37"/>
      <c r="JG154" s="31" t="str">
        <f t="shared" si="33"/>
        <v/>
      </c>
      <c r="JH154" s="31" t="str">
        <f t="shared" si="34"/>
        <v/>
      </c>
    </row>
    <row r="155" spans="1:268" s="31" customFormat="1" x14ac:dyDescent="0.4">
      <c r="A155" s="32"/>
      <c r="B155" s="32"/>
      <c r="C155" s="32"/>
      <c r="D155" s="32"/>
      <c r="E155" s="38"/>
      <c r="F155" s="61"/>
      <c r="G155" s="33"/>
      <c r="H155" s="33"/>
      <c r="I155" s="27" t="str">
        <f t="shared" si="28"/>
        <v/>
      </c>
      <c r="J155" s="33"/>
      <c r="K155" s="28">
        <f t="shared" si="26"/>
        <v>0</v>
      </c>
      <c r="L155" s="28">
        <f>IF(AND($Y155&lt;&gt;"",$X155&lt;&gt;""),MAX(0,ROUND(($X155*$Y155),0)-NETWORKDAYS.INTL($V155,基準日,1)),0)</f>
        <v>0</v>
      </c>
      <c r="M155" s="28">
        <f t="shared" ca="1" si="27"/>
        <v>0</v>
      </c>
      <c r="N155" s="28">
        <f t="shared" ca="1" si="29"/>
        <v>0</v>
      </c>
      <c r="O155" s="34"/>
      <c r="P155" s="34"/>
      <c r="Q155" s="71" t="str" cm="1">
        <f t="array" ref="Q155">IF(SUMPRODUCT(--(B155:E155&lt;&gt;""))&gt;0,"○","")</f>
        <v/>
      </c>
      <c r="R155" s="35"/>
      <c r="S155" s="35"/>
      <c r="T155" s="35"/>
      <c r="U155" s="66"/>
      <c r="V155" s="29" t="str">
        <f t="shared" si="30"/>
        <v/>
      </c>
      <c r="W155" s="29" t="str">
        <f t="shared" si="31"/>
        <v/>
      </c>
      <c r="X155" s="30" t="str">
        <f t="shared" si="32"/>
        <v/>
      </c>
      <c r="Y155" s="36"/>
      <c r="Z155" s="37"/>
      <c r="AA155" s="37"/>
      <c r="JG155" s="31" t="str">
        <f t="shared" si="33"/>
        <v/>
      </c>
      <c r="JH155" s="31" t="str">
        <f t="shared" si="34"/>
        <v/>
      </c>
    </row>
    <row r="156" spans="1:268" s="31" customFormat="1" x14ac:dyDescent="0.4">
      <c r="A156" s="32"/>
      <c r="B156" s="32"/>
      <c r="C156" s="32"/>
      <c r="D156" s="32"/>
      <c r="E156" s="38"/>
      <c r="F156" s="61"/>
      <c r="G156" s="33"/>
      <c r="H156" s="33"/>
      <c r="I156" s="27" t="str">
        <f t="shared" si="28"/>
        <v/>
      </c>
      <c r="J156" s="33"/>
      <c r="K156" s="28">
        <f t="shared" si="26"/>
        <v>0</v>
      </c>
      <c r="L156" s="28">
        <f>IF(AND($Y156&lt;&gt;"",$X156&lt;&gt;""),MAX(0,ROUND(($X156*$Y156),0)-NETWORKDAYS.INTL($V156,基準日,1)),0)</f>
        <v>0</v>
      </c>
      <c r="M156" s="28">
        <f t="shared" ca="1" si="27"/>
        <v>0</v>
      </c>
      <c r="N156" s="28">
        <f t="shared" ca="1" si="29"/>
        <v>0</v>
      </c>
      <c r="O156" s="34"/>
      <c r="P156" s="34"/>
      <c r="Q156" s="71" t="str" cm="1">
        <f t="array" ref="Q156">IF(SUMPRODUCT(--(B156:E156&lt;&gt;""))&gt;0,"○","")</f>
        <v/>
      </c>
      <c r="R156" s="35"/>
      <c r="S156" s="35"/>
      <c r="T156" s="35"/>
      <c r="U156" s="66"/>
      <c r="V156" s="29" t="str">
        <f t="shared" si="30"/>
        <v/>
      </c>
      <c r="W156" s="29" t="str">
        <f t="shared" si="31"/>
        <v/>
      </c>
      <c r="X156" s="30" t="str">
        <f t="shared" si="32"/>
        <v/>
      </c>
      <c r="Y156" s="36"/>
      <c r="Z156" s="37"/>
      <c r="AA156" s="37"/>
      <c r="JG156" s="31" t="str">
        <f t="shared" si="33"/>
        <v/>
      </c>
      <c r="JH156" s="31" t="str">
        <f t="shared" si="34"/>
        <v/>
      </c>
    </row>
    <row r="157" spans="1:268" s="31" customFormat="1" x14ac:dyDescent="0.4">
      <c r="A157" s="32"/>
      <c r="B157" s="32"/>
      <c r="C157" s="32"/>
      <c r="D157" s="32"/>
      <c r="E157" s="38"/>
      <c r="F157" s="61"/>
      <c r="G157" s="33"/>
      <c r="H157" s="33"/>
      <c r="I157" s="27" t="str">
        <f t="shared" si="28"/>
        <v/>
      </c>
      <c r="J157" s="33"/>
      <c r="K157" s="28">
        <f t="shared" si="26"/>
        <v>0</v>
      </c>
      <c r="L157" s="28">
        <f>IF(AND($Y157&lt;&gt;"",$X157&lt;&gt;""),MAX(0,ROUND(($X157*$Y157),0)-NETWORKDAYS.INTL($V157,基準日,1)),0)</f>
        <v>0</v>
      </c>
      <c r="M157" s="28">
        <f t="shared" ca="1" si="27"/>
        <v>0</v>
      </c>
      <c r="N157" s="28">
        <f t="shared" ca="1" si="29"/>
        <v>0</v>
      </c>
      <c r="O157" s="34"/>
      <c r="P157" s="34"/>
      <c r="Q157" s="71" t="str" cm="1">
        <f t="array" ref="Q157">IF(SUMPRODUCT(--(B157:E157&lt;&gt;""))&gt;0,"○","")</f>
        <v/>
      </c>
      <c r="R157" s="35"/>
      <c r="S157" s="35"/>
      <c r="T157" s="35"/>
      <c r="U157" s="66"/>
      <c r="V157" s="29" t="str">
        <f t="shared" si="30"/>
        <v/>
      </c>
      <c r="W157" s="29" t="str">
        <f t="shared" si="31"/>
        <v/>
      </c>
      <c r="X157" s="30" t="str">
        <f t="shared" si="32"/>
        <v/>
      </c>
      <c r="Y157" s="36"/>
      <c r="Z157" s="37"/>
      <c r="AA157" s="37"/>
      <c r="JG157" s="31" t="str">
        <f t="shared" si="33"/>
        <v/>
      </c>
      <c r="JH157" s="31" t="str">
        <f t="shared" si="34"/>
        <v/>
      </c>
    </row>
    <row r="158" spans="1:268" s="31" customFormat="1" x14ac:dyDescent="0.4">
      <c r="A158" s="32"/>
      <c r="B158" s="32"/>
      <c r="C158" s="32"/>
      <c r="D158" s="32"/>
      <c r="E158" s="38"/>
      <c r="F158" s="61"/>
      <c r="G158" s="33"/>
      <c r="H158" s="33"/>
      <c r="I158" s="27" t="str">
        <f t="shared" si="28"/>
        <v/>
      </c>
      <c r="J158" s="33"/>
      <c r="K158" s="28">
        <f t="shared" si="26"/>
        <v>0</v>
      </c>
      <c r="L158" s="28">
        <f>IF(AND($Y158&lt;&gt;"",$X158&lt;&gt;""),MAX(0,ROUND(($X158*$Y158),0)-NETWORKDAYS.INTL($V158,基準日,1)),0)</f>
        <v>0</v>
      </c>
      <c r="M158" s="28">
        <f t="shared" ca="1" si="27"/>
        <v>0</v>
      </c>
      <c r="N158" s="28">
        <f t="shared" ca="1" si="29"/>
        <v>0</v>
      </c>
      <c r="O158" s="34"/>
      <c r="P158" s="34"/>
      <c r="Q158" s="71" t="str" cm="1">
        <f t="array" ref="Q158">IF(SUMPRODUCT(--(B158:E158&lt;&gt;""))&gt;0,"○","")</f>
        <v/>
      </c>
      <c r="R158" s="35"/>
      <c r="S158" s="35"/>
      <c r="T158" s="35"/>
      <c r="U158" s="66"/>
      <c r="V158" s="29" t="str">
        <f t="shared" si="30"/>
        <v/>
      </c>
      <c r="W158" s="29" t="str">
        <f t="shared" si="31"/>
        <v/>
      </c>
      <c r="X158" s="30" t="str">
        <f t="shared" si="32"/>
        <v/>
      </c>
      <c r="Y158" s="36"/>
      <c r="Z158" s="37"/>
      <c r="AA158" s="37"/>
      <c r="JG158" s="31" t="str">
        <f t="shared" si="33"/>
        <v/>
      </c>
      <c r="JH158" s="31" t="str">
        <f t="shared" si="34"/>
        <v/>
      </c>
    </row>
    <row r="159" spans="1:268" s="31" customFormat="1" x14ac:dyDescent="0.4">
      <c r="A159" s="32"/>
      <c r="B159" s="32"/>
      <c r="C159" s="32"/>
      <c r="D159" s="32"/>
      <c r="E159" s="38"/>
      <c r="F159" s="61"/>
      <c r="G159" s="33"/>
      <c r="H159" s="33"/>
      <c r="I159" s="27" t="str">
        <f t="shared" si="28"/>
        <v/>
      </c>
      <c r="J159" s="33"/>
      <c r="K159" s="28">
        <f t="shared" si="26"/>
        <v>0</v>
      </c>
      <c r="L159" s="28">
        <f>IF(AND($Y159&lt;&gt;"",$X159&lt;&gt;""),MAX(0,ROUND(($X159*$Y159),0)-NETWORKDAYS.INTL($V159,基準日,1)),0)</f>
        <v>0</v>
      </c>
      <c r="M159" s="28">
        <f t="shared" ca="1" si="27"/>
        <v>0</v>
      </c>
      <c r="N159" s="28">
        <f t="shared" ca="1" si="29"/>
        <v>0</v>
      </c>
      <c r="O159" s="34"/>
      <c r="P159" s="34"/>
      <c r="Q159" s="71" t="str" cm="1">
        <f t="array" ref="Q159">IF(SUMPRODUCT(--(B159:E159&lt;&gt;""))&gt;0,"○","")</f>
        <v/>
      </c>
      <c r="R159" s="35"/>
      <c r="S159" s="35"/>
      <c r="T159" s="35"/>
      <c r="U159" s="66"/>
      <c r="V159" s="29" t="str">
        <f t="shared" si="30"/>
        <v/>
      </c>
      <c r="W159" s="29" t="str">
        <f t="shared" si="31"/>
        <v/>
      </c>
      <c r="X159" s="30" t="str">
        <f t="shared" si="32"/>
        <v/>
      </c>
      <c r="Y159" s="36"/>
      <c r="Z159" s="37"/>
      <c r="AA159" s="37"/>
      <c r="JG159" s="31" t="str">
        <f t="shared" si="33"/>
        <v/>
      </c>
      <c r="JH159" s="31" t="str">
        <f t="shared" si="34"/>
        <v/>
      </c>
    </row>
    <row r="160" spans="1:268" s="31" customFormat="1" x14ac:dyDescent="0.4">
      <c r="A160" s="32"/>
      <c r="B160" s="32"/>
      <c r="C160" s="32"/>
      <c r="D160" s="32"/>
      <c r="E160" s="38"/>
      <c r="F160" s="61"/>
      <c r="G160" s="33"/>
      <c r="H160" s="33"/>
      <c r="I160" s="27" t="str">
        <f t="shared" si="28"/>
        <v/>
      </c>
      <c r="J160" s="33"/>
      <c r="K160" s="28">
        <f t="shared" si="26"/>
        <v>0</v>
      </c>
      <c r="L160" s="28">
        <f>IF(AND($Y160&lt;&gt;"",$X160&lt;&gt;""),MAX(0,ROUND(($X160*$Y160),0)-NETWORKDAYS.INTL($V160,基準日,1)),0)</f>
        <v>0</v>
      </c>
      <c r="M160" s="28">
        <f t="shared" ca="1" si="27"/>
        <v>0</v>
      </c>
      <c r="N160" s="28">
        <f t="shared" ca="1" si="29"/>
        <v>0</v>
      </c>
      <c r="O160" s="34"/>
      <c r="P160" s="34"/>
      <c r="Q160" s="71" t="str" cm="1">
        <f t="array" ref="Q160">IF(SUMPRODUCT(--(B160:E160&lt;&gt;""))&gt;0,"○","")</f>
        <v/>
      </c>
      <c r="R160" s="35"/>
      <c r="S160" s="35"/>
      <c r="T160" s="35"/>
      <c r="U160" s="66"/>
      <c r="V160" s="29" t="str">
        <f t="shared" si="30"/>
        <v/>
      </c>
      <c r="W160" s="29" t="str">
        <f t="shared" si="31"/>
        <v/>
      </c>
      <c r="X160" s="30" t="str">
        <f t="shared" si="32"/>
        <v/>
      </c>
      <c r="Y160" s="36"/>
      <c r="Z160" s="37"/>
      <c r="AA160" s="37"/>
      <c r="JG160" s="31" t="str">
        <f t="shared" si="33"/>
        <v/>
      </c>
      <c r="JH160" s="31" t="str">
        <f t="shared" si="34"/>
        <v/>
      </c>
    </row>
    <row r="161" spans="1:268" s="31" customFormat="1" x14ac:dyDescent="0.4">
      <c r="A161" s="32"/>
      <c r="B161" s="32"/>
      <c r="C161" s="32"/>
      <c r="D161" s="32"/>
      <c r="E161" s="38"/>
      <c r="F161" s="61"/>
      <c r="G161" s="33"/>
      <c r="H161" s="33"/>
      <c r="I161" s="27" t="str">
        <f t="shared" si="28"/>
        <v/>
      </c>
      <c r="J161" s="33"/>
      <c r="K161" s="28">
        <f t="shared" si="26"/>
        <v>0</v>
      </c>
      <c r="L161" s="28">
        <f>IF(AND($Y161&lt;&gt;"",$X161&lt;&gt;""),MAX(0,ROUND(($X161*$Y161),0)-NETWORKDAYS.INTL($V161,基準日,1)),0)</f>
        <v>0</v>
      </c>
      <c r="M161" s="28">
        <f t="shared" ca="1" si="27"/>
        <v>0</v>
      </c>
      <c r="N161" s="28">
        <f t="shared" ca="1" si="29"/>
        <v>0</v>
      </c>
      <c r="O161" s="34"/>
      <c r="P161" s="34"/>
      <c r="Q161" s="71" t="str" cm="1">
        <f t="array" ref="Q161">IF(SUMPRODUCT(--(B161:E161&lt;&gt;""))&gt;0,"○","")</f>
        <v/>
      </c>
      <c r="R161" s="35"/>
      <c r="S161" s="35"/>
      <c r="T161" s="35"/>
      <c r="U161" s="66"/>
      <c r="V161" s="29" t="str">
        <f t="shared" si="30"/>
        <v/>
      </c>
      <c r="W161" s="29" t="str">
        <f t="shared" si="31"/>
        <v/>
      </c>
      <c r="X161" s="30" t="str">
        <f t="shared" si="32"/>
        <v/>
      </c>
      <c r="Y161" s="36"/>
      <c r="Z161" s="37"/>
      <c r="AA161" s="37"/>
      <c r="JG161" s="31" t="str">
        <f t="shared" si="33"/>
        <v/>
      </c>
      <c r="JH161" s="31" t="str">
        <f t="shared" si="34"/>
        <v/>
      </c>
    </row>
    <row r="162" spans="1:268" s="31" customFormat="1" x14ac:dyDescent="0.4">
      <c r="A162" s="32"/>
      <c r="B162" s="32"/>
      <c r="C162" s="32"/>
      <c r="D162" s="32"/>
      <c r="E162" s="38"/>
      <c r="F162" s="61"/>
      <c r="G162" s="33"/>
      <c r="H162" s="33"/>
      <c r="I162" s="27" t="str">
        <f t="shared" si="28"/>
        <v/>
      </c>
      <c r="J162" s="33"/>
      <c r="K162" s="28">
        <f t="shared" si="26"/>
        <v>0</v>
      </c>
      <c r="L162" s="28">
        <f>IF(AND($Y162&lt;&gt;"",$X162&lt;&gt;""),MAX(0,ROUND(($X162*$Y162),0)-NETWORKDAYS.INTL($V162,基準日,1)),0)</f>
        <v>0</v>
      </c>
      <c r="M162" s="28">
        <f t="shared" ca="1" si="27"/>
        <v>0</v>
      </c>
      <c r="N162" s="28">
        <f t="shared" ca="1" si="29"/>
        <v>0</v>
      </c>
      <c r="O162" s="34"/>
      <c r="P162" s="34"/>
      <c r="Q162" s="71" t="str" cm="1">
        <f t="array" ref="Q162">IF(SUMPRODUCT(--(B162:E162&lt;&gt;""))&gt;0,"○","")</f>
        <v/>
      </c>
      <c r="R162" s="35"/>
      <c r="S162" s="35"/>
      <c r="T162" s="35"/>
      <c r="U162" s="66"/>
      <c r="V162" s="29" t="str">
        <f t="shared" si="30"/>
        <v/>
      </c>
      <c r="W162" s="29" t="str">
        <f t="shared" si="31"/>
        <v/>
      </c>
      <c r="X162" s="30" t="str">
        <f t="shared" si="32"/>
        <v/>
      </c>
      <c r="Y162" s="36"/>
      <c r="Z162" s="37"/>
      <c r="AA162" s="37"/>
      <c r="JG162" s="31" t="str">
        <f t="shared" si="33"/>
        <v/>
      </c>
      <c r="JH162" s="31" t="str">
        <f t="shared" si="34"/>
        <v/>
      </c>
    </row>
    <row r="163" spans="1:268" s="31" customFormat="1" x14ac:dyDescent="0.4">
      <c r="A163" s="32"/>
      <c r="B163" s="32"/>
      <c r="C163" s="32"/>
      <c r="D163" s="32"/>
      <c r="E163" s="38"/>
      <c r="F163" s="61"/>
      <c r="G163" s="33"/>
      <c r="H163" s="33"/>
      <c r="I163" s="27" t="str">
        <f t="shared" si="28"/>
        <v/>
      </c>
      <c r="J163" s="33"/>
      <c r="K163" s="28">
        <f t="shared" si="26"/>
        <v>0</v>
      </c>
      <c r="L163" s="28">
        <f>IF(AND($Y163&lt;&gt;"",$X163&lt;&gt;""),MAX(0,ROUND(($X163*$Y163),0)-NETWORKDAYS.INTL($V163,基準日,1)),0)</f>
        <v>0</v>
      </c>
      <c r="M163" s="28">
        <f t="shared" ca="1" si="27"/>
        <v>0</v>
      </c>
      <c r="N163" s="28">
        <f t="shared" ca="1" si="29"/>
        <v>0</v>
      </c>
      <c r="O163" s="34"/>
      <c r="P163" s="34"/>
      <c r="Q163" s="71" t="str" cm="1">
        <f t="array" ref="Q163">IF(SUMPRODUCT(--(B163:E163&lt;&gt;""))&gt;0,"○","")</f>
        <v/>
      </c>
      <c r="R163" s="35"/>
      <c r="S163" s="35"/>
      <c r="T163" s="35"/>
      <c r="U163" s="66"/>
      <c r="V163" s="29" t="str">
        <f t="shared" si="30"/>
        <v/>
      </c>
      <c r="W163" s="29" t="str">
        <f t="shared" si="31"/>
        <v/>
      </c>
      <c r="X163" s="30" t="str">
        <f t="shared" si="32"/>
        <v/>
      </c>
      <c r="Y163" s="36"/>
      <c r="Z163" s="37"/>
      <c r="AA163" s="37"/>
      <c r="JG163" s="31" t="str">
        <f t="shared" si="33"/>
        <v/>
      </c>
      <c r="JH163" s="31" t="str">
        <f t="shared" si="34"/>
        <v/>
      </c>
    </row>
    <row r="164" spans="1:268" s="31" customFormat="1" x14ac:dyDescent="0.4">
      <c r="A164" s="32"/>
      <c r="B164" s="32"/>
      <c r="C164" s="32"/>
      <c r="D164" s="32"/>
      <c r="E164" s="38"/>
      <c r="F164" s="61"/>
      <c r="G164" s="33"/>
      <c r="H164" s="33"/>
      <c r="I164" s="27" t="str">
        <f t="shared" si="28"/>
        <v/>
      </c>
      <c r="J164" s="33"/>
      <c r="K164" s="28">
        <f t="shared" si="26"/>
        <v>0</v>
      </c>
      <c r="L164" s="28">
        <f>IF(AND($Y164&lt;&gt;"",$X164&lt;&gt;""),MAX(0,ROUND(($X164*$Y164),0)-NETWORKDAYS.INTL($V164,基準日,1)),0)</f>
        <v>0</v>
      </c>
      <c r="M164" s="28">
        <f t="shared" ca="1" si="27"/>
        <v>0</v>
      </c>
      <c r="N164" s="28">
        <f t="shared" ca="1" si="29"/>
        <v>0</v>
      </c>
      <c r="O164" s="34"/>
      <c r="P164" s="34"/>
      <c r="Q164" s="71" t="str" cm="1">
        <f t="array" ref="Q164">IF(SUMPRODUCT(--(B164:E164&lt;&gt;""))&gt;0,"○","")</f>
        <v/>
      </c>
      <c r="R164" s="35"/>
      <c r="S164" s="35"/>
      <c r="T164" s="35"/>
      <c r="U164" s="66"/>
      <c r="V164" s="29" t="str">
        <f t="shared" si="30"/>
        <v/>
      </c>
      <c r="W164" s="29" t="str">
        <f t="shared" si="31"/>
        <v/>
      </c>
      <c r="X164" s="30" t="str">
        <f t="shared" si="32"/>
        <v/>
      </c>
      <c r="Y164" s="36"/>
      <c r="Z164" s="37"/>
      <c r="AA164" s="37"/>
      <c r="JG164" s="31" t="str">
        <f t="shared" si="33"/>
        <v/>
      </c>
      <c r="JH164" s="31" t="str">
        <f t="shared" si="34"/>
        <v/>
      </c>
    </row>
    <row r="165" spans="1:268" s="31" customFormat="1" x14ac:dyDescent="0.4">
      <c r="A165" s="32"/>
      <c r="B165" s="32"/>
      <c r="C165" s="32"/>
      <c r="D165" s="32"/>
      <c r="E165" s="38"/>
      <c r="F165" s="61"/>
      <c r="G165" s="33"/>
      <c r="H165" s="33"/>
      <c r="I165" s="27" t="str">
        <f t="shared" si="28"/>
        <v/>
      </c>
      <c r="J165" s="33"/>
      <c r="K165" s="28">
        <f t="shared" si="26"/>
        <v>0</v>
      </c>
      <c r="L165" s="28">
        <f>IF(AND($Y165&lt;&gt;"",$X165&lt;&gt;""),MAX(0,ROUND(($X165*$Y165),0)-NETWORKDAYS.INTL($V165,基準日,1)),0)</f>
        <v>0</v>
      </c>
      <c r="M165" s="28">
        <f t="shared" ca="1" si="27"/>
        <v>0</v>
      </c>
      <c r="N165" s="28">
        <f t="shared" ca="1" si="29"/>
        <v>0</v>
      </c>
      <c r="O165" s="34"/>
      <c r="P165" s="34"/>
      <c r="Q165" s="71" t="str" cm="1">
        <f t="array" ref="Q165">IF(SUMPRODUCT(--(B165:E165&lt;&gt;""))&gt;0,"○","")</f>
        <v/>
      </c>
      <c r="R165" s="35"/>
      <c r="S165" s="35"/>
      <c r="T165" s="35"/>
      <c r="U165" s="66"/>
      <c r="V165" s="29" t="str">
        <f t="shared" si="30"/>
        <v/>
      </c>
      <c r="W165" s="29" t="str">
        <f t="shared" si="31"/>
        <v/>
      </c>
      <c r="X165" s="30" t="str">
        <f t="shared" si="32"/>
        <v/>
      </c>
      <c r="Y165" s="36"/>
      <c r="Z165" s="37"/>
      <c r="AA165" s="37"/>
      <c r="JG165" s="31" t="str">
        <f t="shared" si="33"/>
        <v/>
      </c>
      <c r="JH165" s="31" t="str">
        <f t="shared" si="34"/>
        <v/>
      </c>
    </row>
    <row r="166" spans="1:268" s="31" customFormat="1" x14ac:dyDescent="0.4">
      <c r="A166" s="32"/>
      <c r="B166" s="32"/>
      <c r="C166" s="32"/>
      <c r="D166" s="32"/>
      <c r="E166" s="38"/>
      <c r="F166" s="61"/>
      <c r="G166" s="33"/>
      <c r="H166" s="33"/>
      <c r="I166" s="27" t="str">
        <f t="shared" si="28"/>
        <v/>
      </c>
      <c r="J166" s="33"/>
      <c r="K166" s="28">
        <f t="shared" si="26"/>
        <v>0</v>
      </c>
      <c r="L166" s="28">
        <f>IF(AND($Y166&lt;&gt;"",$X166&lt;&gt;""),MAX(0,ROUND(($X166*$Y166),0)-NETWORKDAYS.INTL($V166,基準日,1)),0)</f>
        <v>0</v>
      </c>
      <c r="M166" s="28">
        <f t="shared" ca="1" si="27"/>
        <v>0</v>
      </c>
      <c r="N166" s="28">
        <f t="shared" ca="1" si="29"/>
        <v>0</v>
      </c>
      <c r="O166" s="34"/>
      <c r="P166" s="34"/>
      <c r="Q166" s="71" t="str" cm="1">
        <f t="array" ref="Q166">IF(SUMPRODUCT(--(B166:E166&lt;&gt;""))&gt;0,"○","")</f>
        <v/>
      </c>
      <c r="R166" s="35"/>
      <c r="S166" s="35"/>
      <c r="T166" s="35"/>
      <c r="U166" s="66"/>
      <c r="V166" s="29" t="str">
        <f t="shared" si="30"/>
        <v/>
      </c>
      <c r="W166" s="29" t="str">
        <f t="shared" si="31"/>
        <v/>
      </c>
      <c r="X166" s="30" t="str">
        <f t="shared" si="32"/>
        <v/>
      </c>
      <c r="Y166" s="36"/>
      <c r="Z166" s="37"/>
      <c r="AA166" s="37"/>
      <c r="JG166" s="31" t="str">
        <f t="shared" si="33"/>
        <v/>
      </c>
      <c r="JH166" s="31" t="str">
        <f t="shared" si="34"/>
        <v/>
      </c>
    </row>
    <row r="167" spans="1:268" s="31" customFormat="1" x14ac:dyDescent="0.4">
      <c r="A167" s="32"/>
      <c r="B167" s="32"/>
      <c r="C167" s="32"/>
      <c r="D167" s="32"/>
      <c r="E167" s="38"/>
      <c r="F167" s="61"/>
      <c r="G167" s="33"/>
      <c r="H167" s="33"/>
      <c r="I167" s="27" t="str">
        <f t="shared" si="28"/>
        <v/>
      </c>
      <c r="J167" s="33"/>
      <c r="K167" s="28">
        <f t="shared" si="26"/>
        <v>0</v>
      </c>
      <c r="L167" s="28">
        <f>IF(AND($Y167&lt;&gt;"",$X167&lt;&gt;""),MAX(0,ROUND(($X167*$Y167),0)-NETWORKDAYS.INTL($V167,基準日,1)),0)</f>
        <v>0</v>
      </c>
      <c r="M167" s="28">
        <f t="shared" ca="1" si="27"/>
        <v>0</v>
      </c>
      <c r="N167" s="28">
        <f t="shared" ca="1" si="29"/>
        <v>0</v>
      </c>
      <c r="O167" s="34"/>
      <c r="P167" s="34"/>
      <c r="Q167" s="71" t="str" cm="1">
        <f t="array" ref="Q167">IF(SUMPRODUCT(--(B167:E167&lt;&gt;""))&gt;0,"○","")</f>
        <v/>
      </c>
      <c r="R167" s="35"/>
      <c r="S167" s="35"/>
      <c r="T167" s="35"/>
      <c r="U167" s="66"/>
      <c r="V167" s="29" t="str">
        <f t="shared" si="30"/>
        <v/>
      </c>
      <c r="W167" s="29" t="str">
        <f t="shared" si="31"/>
        <v/>
      </c>
      <c r="X167" s="30" t="str">
        <f t="shared" si="32"/>
        <v/>
      </c>
      <c r="Y167" s="36"/>
      <c r="Z167" s="37"/>
      <c r="AA167" s="37"/>
      <c r="JG167" s="31" t="str">
        <f t="shared" si="33"/>
        <v/>
      </c>
      <c r="JH167" s="31" t="str">
        <f t="shared" si="34"/>
        <v/>
      </c>
    </row>
    <row r="168" spans="1:268" s="31" customFormat="1" x14ac:dyDescent="0.4">
      <c r="A168" s="32"/>
      <c r="B168" s="32"/>
      <c r="C168" s="32"/>
      <c r="D168" s="32"/>
      <c r="E168" s="38"/>
      <c r="F168" s="61"/>
      <c r="G168" s="33"/>
      <c r="H168" s="33"/>
      <c r="I168" s="27" t="str">
        <f t="shared" si="28"/>
        <v/>
      </c>
      <c r="J168" s="33"/>
      <c r="K168" s="28">
        <f t="shared" si="26"/>
        <v>0</v>
      </c>
      <c r="L168" s="28">
        <f>IF(AND($Y168&lt;&gt;"",$X168&lt;&gt;""),MAX(0,ROUND(($X168*$Y168),0)-NETWORKDAYS.INTL($V168,基準日,1)),0)</f>
        <v>0</v>
      </c>
      <c r="M168" s="28">
        <f t="shared" ca="1" si="27"/>
        <v>0</v>
      </c>
      <c r="N168" s="28">
        <f t="shared" ca="1" si="29"/>
        <v>0</v>
      </c>
      <c r="O168" s="34"/>
      <c r="P168" s="34"/>
      <c r="Q168" s="71" t="str" cm="1">
        <f t="array" ref="Q168">IF(SUMPRODUCT(--(B168:E168&lt;&gt;""))&gt;0,"○","")</f>
        <v/>
      </c>
      <c r="R168" s="35"/>
      <c r="S168" s="35"/>
      <c r="T168" s="35"/>
      <c r="U168" s="66"/>
      <c r="V168" s="29" t="str">
        <f t="shared" si="30"/>
        <v/>
      </c>
      <c r="W168" s="29" t="str">
        <f t="shared" si="31"/>
        <v/>
      </c>
      <c r="X168" s="30" t="str">
        <f t="shared" si="32"/>
        <v/>
      </c>
      <c r="Y168" s="36"/>
      <c r="Z168" s="37"/>
      <c r="AA168" s="37"/>
      <c r="JG168" s="31" t="str">
        <f t="shared" si="33"/>
        <v/>
      </c>
      <c r="JH168" s="31" t="str">
        <f t="shared" si="34"/>
        <v/>
      </c>
    </row>
    <row r="169" spans="1:268" s="31" customFormat="1" x14ac:dyDescent="0.4">
      <c r="A169" s="32"/>
      <c r="B169" s="32"/>
      <c r="C169" s="32"/>
      <c r="D169" s="32"/>
      <c r="E169" s="38"/>
      <c r="F169" s="61"/>
      <c r="G169" s="33"/>
      <c r="H169" s="33"/>
      <c r="I169" s="27" t="str">
        <f t="shared" si="28"/>
        <v/>
      </c>
      <c r="J169" s="33"/>
      <c r="K169" s="28">
        <f t="shared" si="26"/>
        <v>0</v>
      </c>
      <c r="L169" s="28">
        <f>IF(AND($Y169&lt;&gt;"",$X169&lt;&gt;""),MAX(0,ROUND(($X169*$Y169),0)-NETWORKDAYS.INTL($V169,基準日,1)),0)</f>
        <v>0</v>
      </c>
      <c r="M169" s="28">
        <f t="shared" ca="1" si="27"/>
        <v>0</v>
      </c>
      <c r="N169" s="28">
        <f t="shared" ca="1" si="29"/>
        <v>0</v>
      </c>
      <c r="O169" s="34"/>
      <c r="P169" s="34"/>
      <c r="Q169" s="71" t="str" cm="1">
        <f t="array" ref="Q169">IF(SUMPRODUCT(--(B169:E169&lt;&gt;""))&gt;0,"○","")</f>
        <v/>
      </c>
      <c r="R169" s="35"/>
      <c r="S169" s="35"/>
      <c r="T169" s="35"/>
      <c r="U169" s="66"/>
      <c r="V169" s="29" t="str">
        <f t="shared" si="30"/>
        <v/>
      </c>
      <c r="W169" s="29" t="str">
        <f t="shared" si="31"/>
        <v/>
      </c>
      <c r="X169" s="30" t="str">
        <f t="shared" si="32"/>
        <v/>
      </c>
      <c r="Y169" s="36"/>
      <c r="Z169" s="37"/>
      <c r="AA169" s="37"/>
      <c r="JG169" s="31" t="str">
        <f t="shared" si="33"/>
        <v/>
      </c>
      <c r="JH169" s="31" t="str">
        <f t="shared" si="34"/>
        <v/>
      </c>
    </row>
    <row r="170" spans="1:268" s="31" customFormat="1" x14ac:dyDescent="0.4">
      <c r="A170" s="32"/>
      <c r="B170" s="32"/>
      <c r="C170" s="32"/>
      <c r="D170" s="32"/>
      <c r="E170" s="38"/>
      <c r="F170" s="61"/>
      <c r="G170" s="33"/>
      <c r="H170" s="33"/>
      <c r="I170" s="27" t="str">
        <f t="shared" si="28"/>
        <v/>
      </c>
      <c r="J170" s="33"/>
      <c r="K170" s="28">
        <f t="shared" si="26"/>
        <v>0</v>
      </c>
      <c r="L170" s="28">
        <f>IF(AND($Y170&lt;&gt;"",$X170&lt;&gt;""),MAX(0,ROUND(($X170*$Y170),0)-NETWORKDAYS.INTL($V170,基準日,1)),0)</f>
        <v>0</v>
      </c>
      <c r="M170" s="28">
        <f t="shared" ca="1" si="27"/>
        <v>0</v>
      </c>
      <c r="N170" s="28">
        <f t="shared" ca="1" si="29"/>
        <v>0</v>
      </c>
      <c r="O170" s="34"/>
      <c r="P170" s="34"/>
      <c r="Q170" s="71" t="str" cm="1">
        <f t="array" ref="Q170">IF(SUMPRODUCT(--(B170:E170&lt;&gt;""))&gt;0,"○","")</f>
        <v/>
      </c>
      <c r="R170" s="35"/>
      <c r="S170" s="35"/>
      <c r="T170" s="35"/>
      <c r="U170" s="66"/>
      <c r="V170" s="29" t="str">
        <f t="shared" si="30"/>
        <v/>
      </c>
      <c r="W170" s="29" t="str">
        <f t="shared" si="31"/>
        <v/>
      </c>
      <c r="X170" s="30" t="str">
        <f t="shared" si="32"/>
        <v/>
      </c>
      <c r="Y170" s="36"/>
      <c r="Z170" s="37"/>
      <c r="AA170" s="37"/>
      <c r="JG170" s="31" t="str">
        <f t="shared" si="33"/>
        <v/>
      </c>
      <c r="JH170" s="31" t="str">
        <f t="shared" si="34"/>
        <v/>
      </c>
    </row>
    <row r="171" spans="1:268" s="31" customFormat="1" x14ac:dyDescent="0.4">
      <c r="A171" s="32"/>
      <c r="B171" s="32"/>
      <c r="C171" s="32"/>
      <c r="D171" s="32"/>
      <c r="E171" s="38"/>
      <c r="F171" s="61"/>
      <c r="G171" s="33"/>
      <c r="H171" s="33"/>
      <c r="I171" s="27" t="str">
        <f t="shared" si="28"/>
        <v/>
      </c>
      <c r="J171" s="33"/>
      <c r="K171" s="28">
        <f t="shared" si="26"/>
        <v>0</v>
      </c>
      <c r="L171" s="28">
        <f>IF(AND($Y171&lt;&gt;"",$X171&lt;&gt;""),MAX(0,ROUND(($X171*$Y171),0)-NETWORKDAYS.INTL($V171,基準日,1)),0)</f>
        <v>0</v>
      </c>
      <c r="M171" s="28">
        <f t="shared" ca="1" si="27"/>
        <v>0</v>
      </c>
      <c r="N171" s="28">
        <f t="shared" ca="1" si="29"/>
        <v>0</v>
      </c>
      <c r="O171" s="34"/>
      <c r="P171" s="34"/>
      <c r="Q171" s="71" t="str" cm="1">
        <f t="array" ref="Q171">IF(SUMPRODUCT(--(B171:E171&lt;&gt;""))&gt;0,"○","")</f>
        <v/>
      </c>
      <c r="R171" s="35"/>
      <c r="S171" s="35"/>
      <c r="T171" s="35"/>
      <c r="U171" s="66"/>
      <c r="V171" s="29" t="str">
        <f t="shared" si="30"/>
        <v/>
      </c>
      <c r="W171" s="29" t="str">
        <f t="shared" si="31"/>
        <v/>
      </c>
      <c r="X171" s="30" t="str">
        <f t="shared" si="32"/>
        <v/>
      </c>
      <c r="Y171" s="36"/>
      <c r="Z171" s="37"/>
      <c r="AA171" s="37"/>
      <c r="JG171" s="31" t="str">
        <f t="shared" si="33"/>
        <v/>
      </c>
      <c r="JH171" s="31" t="str">
        <f t="shared" si="34"/>
        <v/>
      </c>
    </row>
    <row r="172" spans="1:268" s="31" customFormat="1" x14ac:dyDescent="0.4">
      <c r="A172" s="32"/>
      <c r="B172" s="32"/>
      <c r="C172" s="32"/>
      <c r="D172" s="32"/>
      <c r="E172" s="38"/>
      <c r="F172" s="61"/>
      <c r="G172" s="33"/>
      <c r="H172" s="33"/>
      <c r="I172" s="27" t="str">
        <f t="shared" si="28"/>
        <v/>
      </c>
      <c r="J172" s="33"/>
      <c r="K172" s="28">
        <f t="shared" si="26"/>
        <v>0</v>
      </c>
      <c r="L172" s="28">
        <f>IF(AND($Y172&lt;&gt;"",$X172&lt;&gt;""),MAX(0,ROUND(($X172*$Y172),0)-NETWORKDAYS.INTL($V172,基準日,1)),0)</f>
        <v>0</v>
      </c>
      <c r="M172" s="28">
        <f t="shared" ca="1" si="27"/>
        <v>0</v>
      </c>
      <c r="N172" s="28">
        <f t="shared" ca="1" si="29"/>
        <v>0</v>
      </c>
      <c r="O172" s="34"/>
      <c r="P172" s="34"/>
      <c r="Q172" s="71" t="str" cm="1">
        <f t="array" ref="Q172">IF(SUMPRODUCT(--(B172:E172&lt;&gt;""))&gt;0,"○","")</f>
        <v/>
      </c>
      <c r="R172" s="35"/>
      <c r="S172" s="35"/>
      <c r="T172" s="35"/>
      <c r="U172" s="66"/>
      <c r="V172" s="29" t="str">
        <f t="shared" si="30"/>
        <v/>
      </c>
      <c r="W172" s="29" t="str">
        <f t="shared" si="31"/>
        <v/>
      </c>
      <c r="X172" s="30" t="str">
        <f t="shared" si="32"/>
        <v/>
      </c>
      <c r="Y172" s="36"/>
      <c r="Z172" s="37"/>
      <c r="AA172" s="37"/>
      <c r="JG172" s="31" t="str">
        <f t="shared" si="33"/>
        <v/>
      </c>
      <c r="JH172" s="31" t="str">
        <f t="shared" si="34"/>
        <v/>
      </c>
    </row>
    <row r="173" spans="1:268" s="31" customFormat="1" x14ac:dyDescent="0.4">
      <c r="A173" s="32"/>
      <c r="B173" s="32"/>
      <c r="C173" s="32"/>
      <c r="D173" s="32"/>
      <c r="E173" s="38"/>
      <c r="F173" s="61"/>
      <c r="G173" s="33"/>
      <c r="H173" s="33"/>
      <c r="I173" s="27" t="str">
        <f t="shared" si="28"/>
        <v/>
      </c>
      <c r="J173" s="33"/>
      <c r="K173" s="28">
        <f t="shared" si="26"/>
        <v>0</v>
      </c>
      <c r="L173" s="28">
        <f>IF(AND($Y173&lt;&gt;"",$X173&lt;&gt;""),MAX(0,ROUND(($X173*$Y173),0)-NETWORKDAYS.INTL($V173,基準日,1)),0)</f>
        <v>0</v>
      </c>
      <c r="M173" s="28">
        <f t="shared" ca="1" si="27"/>
        <v>0</v>
      </c>
      <c r="N173" s="28">
        <f t="shared" ca="1" si="29"/>
        <v>0</v>
      </c>
      <c r="O173" s="34"/>
      <c r="P173" s="34"/>
      <c r="Q173" s="71" t="str" cm="1">
        <f t="array" ref="Q173">IF(SUMPRODUCT(--(B173:E173&lt;&gt;""))&gt;0,"○","")</f>
        <v/>
      </c>
      <c r="R173" s="35"/>
      <c r="S173" s="35"/>
      <c r="T173" s="35"/>
      <c r="U173" s="66"/>
      <c r="V173" s="29" t="str">
        <f t="shared" si="30"/>
        <v/>
      </c>
      <c r="W173" s="29" t="str">
        <f t="shared" si="31"/>
        <v/>
      </c>
      <c r="X173" s="30" t="str">
        <f t="shared" si="32"/>
        <v/>
      </c>
      <c r="Y173" s="36"/>
      <c r="Z173" s="37"/>
      <c r="AA173" s="37"/>
      <c r="JG173" s="31" t="str">
        <f t="shared" si="33"/>
        <v/>
      </c>
      <c r="JH173" s="31" t="str">
        <f t="shared" si="34"/>
        <v/>
      </c>
    </row>
    <row r="174" spans="1:268" s="31" customFormat="1" x14ac:dyDescent="0.4">
      <c r="A174" s="32"/>
      <c r="B174" s="32"/>
      <c r="C174" s="32"/>
      <c r="D174" s="32"/>
      <c r="E174" s="38"/>
      <c r="F174" s="61"/>
      <c r="G174" s="33"/>
      <c r="H174" s="33"/>
      <c r="I174" s="27" t="str">
        <f t="shared" si="28"/>
        <v/>
      </c>
      <c r="J174" s="33"/>
      <c r="K174" s="28">
        <f t="shared" si="26"/>
        <v>0</v>
      </c>
      <c r="L174" s="28">
        <f>IF(AND($Y174&lt;&gt;"",$X174&lt;&gt;""),MAX(0,ROUND(($X174*$Y174),0)-NETWORKDAYS.INTL($V174,基準日,1)),0)</f>
        <v>0</v>
      </c>
      <c r="M174" s="28">
        <f t="shared" ca="1" si="27"/>
        <v>0</v>
      </c>
      <c r="N174" s="28">
        <f t="shared" ca="1" si="29"/>
        <v>0</v>
      </c>
      <c r="O174" s="34"/>
      <c r="P174" s="34"/>
      <c r="Q174" s="71" t="str" cm="1">
        <f t="array" ref="Q174">IF(SUMPRODUCT(--(B174:E174&lt;&gt;""))&gt;0,"○","")</f>
        <v/>
      </c>
      <c r="R174" s="35"/>
      <c r="S174" s="35"/>
      <c r="T174" s="35"/>
      <c r="U174" s="66"/>
      <c r="V174" s="29" t="str">
        <f t="shared" si="30"/>
        <v/>
      </c>
      <c r="W174" s="29" t="str">
        <f t="shared" si="31"/>
        <v/>
      </c>
      <c r="X174" s="30" t="str">
        <f t="shared" si="32"/>
        <v/>
      </c>
      <c r="Y174" s="36"/>
      <c r="Z174" s="37"/>
      <c r="AA174" s="37"/>
      <c r="JG174" s="31" t="str">
        <f t="shared" si="33"/>
        <v/>
      </c>
      <c r="JH174" s="31" t="str">
        <f t="shared" si="34"/>
        <v/>
      </c>
    </row>
    <row r="175" spans="1:268" s="31" customFormat="1" x14ac:dyDescent="0.4">
      <c r="A175" s="32"/>
      <c r="B175" s="32"/>
      <c r="C175" s="32"/>
      <c r="D175" s="32"/>
      <c r="E175" s="38"/>
      <c r="F175" s="61"/>
      <c r="G175" s="33"/>
      <c r="H175" s="33"/>
      <c r="I175" s="27" t="str">
        <f t="shared" si="28"/>
        <v/>
      </c>
      <c r="J175" s="33"/>
      <c r="K175" s="28">
        <f t="shared" si="26"/>
        <v>0</v>
      </c>
      <c r="L175" s="28">
        <f>IF(AND($Y175&lt;&gt;"",$X175&lt;&gt;""),MAX(0,ROUND(($X175*$Y175),0)-NETWORKDAYS.INTL($V175,基準日,1)),0)</f>
        <v>0</v>
      </c>
      <c r="M175" s="28">
        <f t="shared" ca="1" si="27"/>
        <v>0</v>
      </c>
      <c r="N175" s="28">
        <f t="shared" ca="1" si="29"/>
        <v>0</v>
      </c>
      <c r="O175" s="34"/>
      <c r="P175" s="34"/>
      <c r="Q175" s="71" t="str" cm="1">
        <f t="array" ref="Q175">IF(SUMPRODUCT(--(B175:E175&lt;&gt;""))&gt;0,"○","")</f>
        <v/>
      </c>
      <c r="R175" s="35"/>
      <c r="S175" s="35"/>
      <c r="T175" s="35"/>
      <c r="U175" s="66"/>
      <c r="V175" s="29" t="str">
        <f t="shared" si="30"/>
        <v/>
      </c>
      <c r="W175" s="29" t="str">
        <f t="shared" si="31"/>
        <v/>
      </c>
      <c r="X175" s="30" t="str">
        <f t="shared" si="32"/>
        <v/>
      </c>
      <c r="Y175" s="36"/>
      <c r="Z175" s="37"/>
      <c r="AA175" s="37"/>
      <c r="JG175" s="31" t="str">
        <f t="shared" si="33"/>
        <v/>
      </c>
      <c r="JH175" s="31" t="str">
        <f t="shared" si="34"/>
        <v/>
      </c>
    </row>
    <row r="176" spans="1:268" s="31" customFormat="1" x14ac:dyDescent="0.4">
      <c r="A176" s="32"/>
      <c r="B176" s="32"/>
      <c r="C176" s="32"/>
      <c r="D176" s="32"/>
      <c r="E176" s="38"/>
      <c r="F176" s="61"/>
      <c r="G176" s="33"/>
      <c r="H176" s="33"/>
      <c r="I176" s="27" t="str">
        <f t="shared" si="28"/>
        <v/>
      </c>
      <c r="J176" s="33"/>
      <c r="K176" s="28">
        <f t="shared" si="26"/>
        <v>0</v>
      </c>
      <c r="L176" s="28">
        <f>IF(AND($Y176&lt;&gt;"",$X176&lt;&gt;""),MAX(0,ROUND(($X176*$Y176),0)-NETWORKDAYS.INTL($V176,基準日,1)),0)</f>
        <v>0</v>
      </c>
      <c r="M176" s="28">
        <f t="shared" ca="1" si="27"/>
        <v>0</v>
      </c>
      <c r="N176" s="28">
        <f t="shared" ca="1" si="29"/>
        <v>0</v>
      </c>
      <c r="O176" s="34"/>
      <c r="P176" s="34"/>
      <c r="Q176" s="71" t="str" cm="1">
        <f t="array" ref="Q176">IF(SUMPRODUCT(--(B176:E176&lt;&gt;""))&gt;0,"○","")</f>
        <v/>
      </c>
      <c r="R176" s="35"/>
      <c r="S176" s="35"/>
      <c r="T176" s="35"/>
      <c r="U176" s="66"/>
      <c r="V176" s="29" t="str">
        <f t="shared" si="30"/>
        <v/>
      </c>
      <c r="W176" s="29" t="str">
        <f t="shared" si="31"/>
        <v/>
      </c>
      <c r="X176" s="30" t="str">
        <f t="shared" si="32"/>
        <v/>
      </c>
      <c r="Y176" s="36"/>
      <c r="Z176" s="37"/>
      <c r="AA176" s="37"/>
      <c r="JG176" s="31" t="str">
        <f t="shared" si="33"/>
        <v/>
      </c>
      <c r="JH176" s="31" t="str">
        <f t="shared" si="34"/>
        <v/>
      </c>
    </row>
    <row r="177" spans="1:268" s="31" customFormat="1" x14ac:dyDescent="0.4">
      <c r="A177" s="32"/>
      <c r="B177" s="32"/>
      <c r="C177" s="32"/>
      <c r="D177" s="32"/>
      <c r="E177" s="38"/>
      <c r="F177" s="61"/>
      <c r="G177" s="33"/>
      <c r="H177" s="33"/>
      <c r="I177" s="27" t="str">
        <f t="shared" si="28"/>
        <v/>
      </c>
      <c r="J177" s="33"/>
      <c r="K177" s="28">
        <f t="shared" si="26"/>
        <v>0</v>
      </c>
      <c r="L177" s="28">
        <f>IF(AND($Y177&lt;&gt;"",$X177&lt;&gt;""),MAX(0,ROUND(($X177*$Y177),0)-NETWORKDAYS.INTL($V177,基準日,1)),0)</f>
        <v>0</v>
      </c>
      <c r="M177" s="28">
        <f t="shared" ca="1" si="27"/>
        <v>0</v>
      </c>
      <c r="N177" s="28">
        <f t="shared" ca="1" si="29"/>
        <v>0</v>
      </c>
      <c r="O177" s="34"/>
      <c r="P177" s="34"/>
      <c r="Q177" s="71" t="str" cm="1">
        <f t="array" ref="Q177">IF(SUMPRODUCT(--(B177:E177&lt;&gt;""))&gt;0,"○","")</f>
        <v/>
      </c>
      <c r="R177" s="35"/>
      <c r="S177" s="35"/>
      <c r="T177" s="35"/>
      <c r="U177" s="66"/>
      <c r="V177" s="29" t="str">
        <f t="shared" si="30"/>
        <v/>
      </c>
      <c r="W177" s="29" t="str">
        <f t="shared" si="31"/>
        <v/>
      </c>
      <c r="X177" s="30" t="str">
        <f t="shared" si="32"/>
        <v/>
      </c>
      <c r="Y177" s="36"/>
      <c r="Z177" s="37"/>
      <c r="AA177" s="37"/>
      <c r="JG177" s="31" t="str">
        <f t="shared" si="33"/>
        <v/>
      </c>
      <c r="JH177" s="31" t="str">
        <f t="shared" si="34"/>
        <v/>
      </c>
    </row>
    <row r="178" spans="1:268" s="31" customFormat="1" x14ac:dyDescent="0.4">
      <c r="A178" s="32"/>
      <c r="B178" s="32"/>
      <c r="C178" s="32"/>
      <c r="D178" s="32"/>
      <c r="E178" s="38"/>
      <c r="F178" s="61"/>
      <c r="G178" s="33"/>
      <c r="H178" s="33"/>
      <c r="I178" s="27" t="str">
        <f t="shared" si="28"/>
        <v/>
      </c>
      <c r="J178" s="33"/>
      <c r="K178" s="28">
        <f t="shared" si="26"/>
        <v>0</v>
      </c>
      <c r="L178" s="28">
        <f>IF(AND($Y178&lt;&gt;"",$X178&lt;&gt;""),MAX(0,ROUND(($X178*$Y178),0)-NETWORKDAYS.INTL($V178,基準日,1)),0)</f>
        <v>0</v>
      </c>
      <c r="M178" s="28">
        <f t="shared" ca="1" si="27"/>
        <v>0</v>
      </c>
      <c r="N178" s="28">
        <f t="shared" ca="1" si="29"/>
        <v>0</v>
      </c>
      <c r="O178" s="34"/>
      <c r="P178" s="34"/>
      <c r="Q178" s="71" t="str" cm="1">
        <f t="array" ref="Q178">IF(SUMPRODUCT(--(B178:E178&lt;&gt;""))&gt;0,"○","")</f>
        <v/>
      </c>
      <c r="R178" s="35"/>
      <c r="S178" s="35"/>
      <c r="T178" s="35"/>
      <c r="U178" s="66"/>
      <c r="V178" s="29" t="str">
        <f t="shared" si="30"/>
        <v/>
      </c>
      <c r="W178" s="29" t="str">
        <f t="shared" si="31"/>
        <v/>
      </c>
      <c r="X178" s="30" t="str">
        <f t="shared" si="32"/>
        <v/>
      </c>
      <c r="Y178" s="36"/>
      <c r="Z178" s="37"/>
      <c r="AA178" s="37"/>
      <c r="JG178" s="31" t="str">
        <f t="shared" si="33"/>
        <v/>
      </c>
      <c r="JH178" s="31" t="str">
        <f t="shared" si="34"/>
        <v/>
      </c>
    </row>
    <row r="179" spans="1:268" s="31" customFormat="1" x14ac:dyDescent="0.4">
      <c r="A179" s="32"/>
      <c r="B179" s="32"/>
      <c r="C179" s="32"/>
      <c r="D179" s="32"/>
      <c r="E179" s="38"/>
      <c r="F179" s="61"/>
      <c r="G179" s="33"/>
      <c r="H179" s="33"/>
      <c r="I179" s="27" t="str">
        <f t="shared" si="28"/>
        <v/>
      </c>
      <c r="J179" s="33"/>
      <c r="K179" s="28">
        <f t="shared" si="26"/>
        <v>0</v>
      </c>
      <c r="L179" s="28">
        <f>IF(AND($Y179&lt;&gt;"",$X179&lt;&gt;""),MAX(0,ROUND(($X179*$Y179),0)-NETWORKDAYS.INTL($V179,基準日,1)),0)</f>
        <v>0</v>
      </c>
      <c r="M179" s="28">
        <f t="shared" ca="1" si="27"/>
        <v>0</v>
      </c>
      <c r="N179" s="28">
        <f t="shared" ca="1" si="29"/>
        <v>0</v>
      </c>
      <c r="O179" s="34"/>
      <c r="P179" s="34"/>
      <c r="Q179" s="71" t="str" cm="1">
        <f t="array" ref="Q179">IF(SUMPRODUCT(--(B179:E179&lt;&gt;""))&gt;0,"○","")</f>
        <v/>
      </c>
      <c r="R179" s="35"/>
      <c r="S179" s="35"/>
      <c r="T179" s="35"/>
      <c r="U179" s="66"/>
      <c r="V179" s="29" t="str">
        <f t="shared" si="30"/>
        <v/>
      </c>
      <c r="W179" s="29" t="str">
        <f t="shared" si="31"/>
        <v/>
      </c>
      <c r="X179" s="30" t="str">
        <f t="shared" si="32"/>
        <v/>
      </c>
      <c r="Y179" s="36"/>
      <c r="Z179" s="37"/>
      <c r="AA179" s="37"/>
      <c r="JG179" s="31" t="str">
        <f t="shared" si="33"/>
        <v/>
      </c>
      <c r="JH179" s="31" t="str">
        <f t="shared" si="34"/>
        <v/>
      </c>
    </row>
    <row r="180" spans="1:268" s="31" customFormat="1" x14ac:dyDescent="0.4">
      <c r="A180" s="32"/>
      <c r="B180" s="32"/>
      <c r="C180" s="32"/>
      <c r="D180" s="32"/>
      <c r="E180" s="38"/>
      <c r="F180" s="61"/>
      <c r="G180" s="33"/>
      <c r="H180" s="33"/>
      <c r="I180" s="27" t="str">
        <f t="shared" si="28"/>
        <v/>
      </c>
      <c r="J180" s="33"/>
      <c r="K180" s="28">
        <f t="shared" si="26"/>
        <v>0</v>
      </c>
      <c r="L180" s="28">
        <f>IF(AND($Y180&lt;&gt;"",$X180&lt;&gt;""),MAX(0,ROUND(($X180*$Y180),0)-NETWORKDAYS.INTL($V180,基準日,1)),0)</f>
        <v>0</v>
      </c>
      <c r="M180" s="28">
        <f t="shared" ca="1" si="27"/>
        <v>0</v>
      </c>
      <c r="N180" s="28">
        <f t="shared" ca="1" si="29"/>
        <v>0</v>
      </c>
      <c r="O180" s="34"/>
      <c r="P180" s="34"/>
      <c r="Q180" s="71" t="str" cm="1">
        <f t="array" ref="Q180">IF(SUMPRODUCT(--(B180:E180&lt;&gt;""))&gt;0,"○","")</f>
        <v/>
      </c>
      <c r="R180" s="35"/>
      <c r="S180" s="35"/>
      <c r="T180" s="35"/>
      <c r="U180" s="66"/>
      <c r="V180" s="29" t="str">
        <f t="shared" si="30"/>
        <v/>
      </c>
      <c r="W180" s="29" t="str">
        <f t="shared" si="31"/>
        <v/>
      </c>
      <c r="X180" s="30" t="str">
        <f t="shared" si="32"/>
        <v/>
      </c>
      <c r="Y180" s="36"/>
      <c r="Z180" s="37"/>
      <c r="AA180" s="37"/>
      <c r="JG180" s="31" t="str">
        <f t="shared" si="33"/>
        <v/>
      </c>
      <c r="JH180" s="31" t="str">
        <f t="shared" si="34"/>
        <v/>
      </c>
    </row>
    <row r="181" spans="1:268" s="31" customFormat="1" x14ac:dyDescent="0.4">
      <c r="A181" s="32"/>
      <c r="B181" s="32"/>
      <c r="C181" s="32"/>
      <c r="D181" s="32"/>
      <c r="E181" s="38"/>
      <c r="F181" s="61"/>
      <c r="G181" s="33"/>
      <c r="H181" s="33"/>
      <c r="I181" s="27" t="str">
        <f t="shared" si="28"/>
        <v/>
      </c>
      <c r="J181" s="33"/>
      <c r="K181" s="28">
        <f t="shared" si="26"/>
        <v>0</v>
      </c>
      <c r="L181" s="28">
        <f>IF(AND($Y181&lt;&gt;"",$X181&lt;&gt;""),MAX(0,ROUND(($X181*$Y181),0)-NETWORKDAYS.INTL($V181,基準日,1)),0)</f>
        <v>0</v>
      </c>
      <c r="M181" s="28">
        <f t="shared" ca="1" si="27"/>
        <v>0</v>
      </c>
      <c r="N181" s="28">
        <f t="shared" ca="1" si="29"/>
        <v>0</v>
      </c>
      <c r="O181" s="34"/>
      <c r="P181" s="34"/>
      <c r="Q181" s="71" t="str" cm="1">
        <f t="array" ref="Q181">IF(SUMPRODUCT(--(B181:E181&lt;&gt;""))&gt;0,"○","")</f>
        <v/>
      </c>
      <c r="R181" s="35"/>
      <c r="S181" s="35"/>
      <c r="T181" s="35"/>
      <c r="U181" s="66"/>
      <c r="V181" s="29" t="str">
        <f t="shared" si="30"/>
        <v/>
      </c>
      <c r="W181" s="29" t="str">
        <f t="shared" si="31"/>
        <v/>
      </c>
      <c r="X181" s="30" t="str">
        <f t="shared" si="32"/>
        <v/>
      </c>
      <c r="Y181" s="36"/>
      <c r="Z181" s="37"/>
      <c r="AA181" s="37"/>
      <c r="JG181" s="31" t="str">
        <f t="shared" si="33"/>
        <v/>
      </c>
      <c r="JH181" s="31" t="str">
        <f t="shared" si="34"/>
        <v/>
      </c>
    </row>
    <row r="182" spans="1:268" s="31" customFormat="1" x14ac:dyDescent="0.4">
      <c r="A182" s="32"/>
      <c r="B182" s="32"/>
      <c r="C182" s="32"/>
      <c r="D182" s="32"/>
      <c r="E182" s="38"/>
      <c r="F182" s="61"/>
      <c r="G182" s="33"/>
      <c r="H182" s="33"/>
      <c r="I182" s="27" t="str">
        <f t="shared" si="28"/>
        <v/>
      </c>
      <c r="J182" s="33"/>
      <c r="K182" s="28">
        <f t="shared" si="26"/>
        <v>0</v>
      </c>
      <c r="L182" s="28">
        <f>IF(AND($Y182&lt;&gt;"",$X182&lt;&gt;""),MAX(0,ROUND(($X182*$Y182),0)-NETWORKDAYS.INTL($V182,基準日,1)),0)</f>
        <v>0</v>
      </c>
      <c r="M182" s="28">
        <f t="shared" ca="1" si="27"/>
        <v>0</v>
      </c>
      <c r="N182" s="28">
        <f t="shared" ca="1" si="29"/>
        <v>0</v>
      </c>
      <c r="O182" s="34"/>
      <c r="P182" s="34"/>
      <c r="Q182" s="71" t="str" cm="1">
        <f t="array" ref="Q182">IF(SUMPRODUCT(--(B182:E182&lt;&gt;""))&gt;0,"○","")</f>
        <v/>
      </c>
      <c r="R182" s="35"/>
      <c r="S182" s="35"/>
      <c r="T182" s="35"/>
      <c r="U182" s="66"/>
      <c r="V182" s="29" t="str">
        <f t="shared" si="30"/>
        <v/>
      </c>
      <c r="W182" s="29" t="str">
        <f t="shared" si="31"/>
        <v/>
      </c>
      <c r="X182" s="30" t="str">
        <f t="shared" si="32"/>
        <v/>
      </c>
      <c r="Y182" s="36"/>
      <c r="Z182" s="37"/>
      <c r="AA182" s="37"/>
      <c r="JG182" s="31" t="str">
        <f t="shared" si="33"/>
        <v/>
      </c>
      <c r="JH182" s="31" t="str">
        <f t="shared" si="34"/>
        <v/>
      </c>
    </row>
    <row r="183" spans="1:268" s="31" customFormat="1" x14ac:dyDescent="0.4">
      <c r="A183" s="32"/>
      <c r="B183" s="32"/>
      <c r="C183" s="32"/>
      <c r="D183" s="32"/>
      <c r="E183" s="38"/>
      <c r="F183" s="61"/>
      <c r="G183" s="33"/>
      <c r="H183" s="33"/>
      <c r="I183" s="27" t="str">
        <f t="shared" si="28"/>
        <v/>
      </c>
      <c r="J183" s="33"/>
      <c r="K183" s="28">
        <f t="shared" si="26"/>
        <v>0</v>
      </c>
      <c r="L183" s="28">
        <f>IF(AND($Y183&lt;&gt;"",$X183&lt;&gt;""),MAX(0,ROUND(($X183*$Y183),0)-NETWORKDAYS.INTL($V183,基準日,1)),0)</f>
        <v>0</v>
      </c>
      <c r="M183" s="28">
        <f t="shared" ca="1" si="27"/>
        <v>0</v>
      </c>
      <c r="N183" s="28">
        <f t="shared" ca="1" si="29"/>
        <v>0</v>
      </c>
      <c r="O183" s="34"/>
      <c r="P183" s="34"/>
      <c r="Q183" s="71" t="str" cm="1">
        <f t="array" ref="Q183">IF(SUMPRODUCT(--(B183:E183&lt;&gt;""))&gt;0,"○","")</f>
        <v/>
      </c>
      <c r="R183" s="35"/>
      <c r="S183" s="35"/>
      <c r="T183" s="35"/>
      <c r="U183" s="66"/>
      <c r="V183" s="29" t="str">
        <f t="shared" si="30"/>
        <v/>
      </c>
      <c r="W183" s="29" t="str">
        <f t="shared" si="31"/>
        <v/>
      </c>
      <c r="X183" s="30" t="str">
        <f t="shared" si="32"/>
        <v/>
      </c>
      <c r="Y183" s="36"/>
      <c r="Z183" s="37"/>
      <c r="AA183" s="37"/>
      <c r="JG183" s="31" t="str">
        <f t="shared" si="33"/>
        <v/>
      </c>
      <c r="JH183" s="31" t="str">
        <f t="shared" si="34"/>
        <v/>
      </c>
    </row>
    <row r="184" spans="1:268" s="31" customFormat="1" x14ac:dyDescent="0.4">
      <c r="A184" s="32"/>
      <c r="B184" s="32"/>
      <c r="C184" s="32"/>
      <c r="D184" s="32"/>
      <c r="E184" s="38"/>
      <c r="F184" s="61"/>
      <c r="G184" s="33"/>
      <c r="H184" s="33"/>
      <c r="I184" s="27" t="str">
        <f t="shared" si="28"/>
        <v/>
      </c>
      <c r="J184" s="33"/>
      <c r="K184" s="28">
        <f t="shared" si="26"/>
        <v>0</v>
      </c>
      <c r="L184" s="28">
        <f>IF(AND($Y184&lt;&gt;"",$X184&lt;&gt;""),MAX(0,ROUND(($X184*$Y184),0)-NETWORKDAYS.INTL($V184,基準日,1)),0)</f>
        <v>0</v>
      </c>
      <c r="M184" s="28">
        <f t="shared" ca="1" si="27"/>
        <v>0</v>
      </c>
      <c r="N184" s="28">
        <f t="shared" ca="1" si="29"/>
        <v>0</v>
      </c>
      <c r="O184" s="34"/>
      <c r="P184" s="34"/>
      <c r="Q184" s="71" t="str" cm="1">
        <f t="array" ref="Q184">IF(SUMPRODUCT(--(B184:E184&lt;&gt;""))&gt;0,"○","")</f>
        <v/>
      </c>
      <c r="R184" s="35"/>
      <c r="S184" s="35"/>
      <c r="T184" s="35"/>
      <c r="U184" s="66"/>
      <c r="V184" s="29" t="str">
        <f t="shared" si="30"/>
        <v/>
      </c>
      <c r="W184" s="29" t="str">
        <f t="shared" si="31"/>
        <v/>
      </c>
      <c r="X184" s="30" t="str">
        <f t="shared" si="32"/>
        <v/>
      </c>
      <c r="Y184" s="36"/>
      <c r="Z184" s="37"/>
      <c r="AA184" s="37"/>
      <c r="JG184" s="31" t="str">
        <f t="shared" si="33"/>
        <v/>
      </c>
      <c r="JH184" s="31" t="str">
        <f t="shared" si="34"/>
        <v/>
      </c>
    </row>
    <row r="185" spans="1:268" s="31" customFormat="1" x14ac:dyDescent="0.4">
      <c r="A185" s="32"/>
      <c r="B185" s="32"/>
      <c r="C185" s="32"/>
      <c r="D185" s="32"/>
      <c r="E185" s="38"/>
      <c r="F185" s="61"/>
      <c r="G185" s="33"/>
      <c r="H185" s="33"/>
      <c r="I185" s="27" t="str">
        <f t="shared" si="28"/>
        <v/>
      </c>
      <c r="J185" s="33"/>
      <c r="K185" s="28">
        <f t="shared" si="26"/>
        <v>0</v>
      </c>
      <c r="L185" s="28">
        <f>IF(AND($Y185&lt;&gt;"",$X185&lt;&gt;""),MAX(0,ROUND(($X185*$Y185),0)-NETWORKDAYS.INTL($V185,基準日,1)),0)</f>
        <v>0</v>
      </c>
      <c r="M185" s="28">
        <f t="shared" ca="1" si="27"/>
        <v>0</v>
      </c>
      <c r="N185" s="28">
        <f t="shared" ca="1" si="29"/>
        <v>0</v>
      </c>
      <c r="O185" s="34"/>
      <c r="P185" s="34"/>
      <c r="Q185" s="71" t="str" cm="1">
        <f t="array" ref="Q185">IF(SUMPRODUCT(--(B185:E185&lt;&gt;""))&gt;0,"○","")</f>
        <v/>
      </c>
      <c r="R185" s="35"/>
      <c r="S185" s="35"/>
      <c r="T185" s="35"/>
      <c r="U185" s="66"/>
      <c r="V185" s="29" t="str">
        <f t="shared" si="30"/>
        <v/>
      </c>
      <c r="W185" s="29" t="str">
        <f t="shared" si="31"/>
        <v/>
      </c>
      <c r="X185" s="30" t="str">
        <f t="shared" si="32"/>
        <v/>
      </c>
      <c r="Y185" s="36"/>
      <c r="Z185" s="37"/>
      <c r="AA185" s="37"/>
      <c r="JG185" s="31" t="str">
        <f t="shared" si="33"/>
        <v/>
      </c>
      <c r="JH185" s="31" t="str">
        <f t="shared" si="34"/>
        <v/>
      </c>
    </row>
    <row r="186" spans="1:268" s="31" customFormat="1" x14ac:dyDescent="0.4">
      <c r="A186" s="32"/>
      <c r="B186" s="32"/>
      <c r="C186" s="32"/>
      <c r="D186" s="32"/>
      <c r="E186" s="38"/>
      <c r="F186" s="61"/>
      <c r="G186" s="33"/>
      <c r="H186" s="33"/>
      <c r="I186" s="27" t="str">
        <f t="shared" si="28"/>
        <v/>
      </c>
      <c r="J186" s="33"/>
      <c r="K186" s="28">
        <f t="shared" si="26"/>
        <v>0</v>
      </c>
      <c r="L186" s="28">
        <f>IF(AND($Y186&lt;&gt;"",$X186&lt;&gt;""),MAX(0,ROUND(($X186*$Y186),0)-NETWORKDAYS.INTL($V186,基準日,1)),0)</f>
        <v>0</v>
      </c>
      <c r="M186" s="28">
        <f t="shared" ca="1" si="27"/>
        <v>0</v>
      </c>
      <c r="N186" s="28">
        <f t="shared" ca="1" si="29"/>
        <v>0</v>
      </c>
      <c r="O186" s="34"/>
      <c r="P186" s="34"/>
      <c r="Q186" s="71" t="str" cm="1">
        <f t="array" ref="Q186">IF(SUMPRODUCT(--(B186:E186&lt;&gt;""))&gt;0,"○","")</f>
        <v/>
      </c>
      <c r="R186" s="35"/>
      <c r="S186" s="35"/>
      <c r="T186" s="35"/>
      <c r="U186" s="66"/>
      <c r="V186" s="29" t="str">
        <f t="shared" si="30"/>
        <v/>
      </c>
      <c r="W186" s="29" t="str">
        <f t="shared" si="31"/>
        <v/>
      </c>
      <c r="X186" s="30" t="str">
        <f t="shared" si="32"/>
        <v/>
      </c>
      <c r="Y186" s="36"/>
      <c r="Z186" s="37"/>
      <c r="AA186" s="37"/>
      <c r="JG186" s="31" t="str">
        <f t="shared" si="33"/>
        <v/>
      </c>
      <c r="JH186" s="31" t="str">
        <f t="shared" si="34"/>
        <v/>
      </c>
    </row>
    <row r="187" spans="1:268" s="31" customFormat="1" x14ac:dyDescent="0.4">
      <c r="A187" s="32"/>
      <c r="B187" s="32"/>
      <c r="C187" s="32"/>
      <c r="D187" s="32"/>
      <c r="E187" s="38"/>
      <c r="F187" s="61"/>
      <c r="G187" s="33"/>
      <c r="H187" s="33"/>
      <c r="I187" s="27" t="str">
        <f t="shared" si="28"/>
        <v/>
      </c>
      <c r="J187" s="33"/>
      <c r="K187" s="28">
        <f t="shared" si="26"/>
        <v>0</v>
      </c>
      <c r="L187" s="28">
        <f>IF(AND($Y187&lt;&gt;"",$X187&lt;&gt;""),MAX(0,ROUND(($X187*$Y187),0)-NETWORKDAYS.INTL($V187,基準日,1)),0)</f>
        <v>0</v>
      </c>
      <c r="M187" s="28">
        <f t="shared" ca="1" si="27"/>
        <v>0</v>
      </c>
      <c r="N187" s="28">
        <f t="shared" ca="1" si="29"/>
        <v>0</v>
      </c>
      <c r="O187" s="34"/>
      <c r="P187" s="34"/>
      <c r="Q187" s="71" t="str" cm="1">
        <f t="array" ref="Q187">IF(SUMPRODUCT(--(B187:E187&lt;&gt;""))&gt;0,"○","")</f>
        <v/>
      </c>
      <c r="R187" s="35"/>
      <c r="S187" s="35"/>
      <c r="T187" s="35"/>
      <c r="U187" s="66"/>
      <c r="V187" s="29" t="str">
        <f t="shared" si="30"/>
        <v/>
      </c>
      <c r="W187" s="29" t="str">
        <f t="shared" si="31"/>
        <v/>
      </c>
      <c r="X187" s="30" t="str">
        <f t="shared" si="32"/>
        <v/>
      </c>
      <c r="Y187" s="36"/>
      <c r="Z187" s="37"/>
      <c r="AA187" s="37"/>
      <c r="JG187" s="31" t="str">
        <f t="shared" si="33"/>
        <v/>
      </c>
      <c r="JH187" s="31" t="str">
        <f t="shared" si="34"/>
        <v/>
      </c>
    </row>
    <row r="188" spans="1:268" s="31" customFormat="1" x14ac:dyDescent="0.4">
      <c r="A188" s="32"/>
      <c r="B188" s="32"/>
      <c r="C188" s="32"/>
      <c r="D188" s="32"/>
      <c r="E188" s="38"/>
      <c r="F188" s="61"/>
      <c r="G188" s="33"/>
      <c r="H188" s="33"/>
      <c r="I188" s="27" t="str">
        <f t="shared" si="28"/>
        <v/>
      </c>
      <c r="J188" s="33"/>
      <c r="K188" s="28">
        <f t="shared" si="26"/>
        <v>0</v>
      </c>
      <c r="L188" s="28">
        <f>IF(AND($Y188&lt;&gt;"",$X188&lt;&gt;""),MAX(0,ROUND(($X188*$Y188),0)-NETWORKDAYS.INTL($V188,基準日,1)),0)</f>
        <v>0</v>
      </c>
      <c r="M188" s="28">
        <f t="shared" ca="1" si="27"/>
        <v>0</v>
      </c>
      <c r="N188" s="28">
        <f t="shared" ca="1" si="29"/>
        <v>0</v>
      </c>
      <c r="O188" s="34"/>
      <c r="P188" s="34"/>
      <c r="Q188" s="71" t="str" cm="1">
        <f t="array" ref="Q188">IF(SUMPRODUCT(--(B188:E188&lt;&gt;""))&gt;0,"○","")</f>
        <v/>
      </c>
      <c r="R188" s="35"/>
      <c r="S188" s="35"/>
      <c r="T188" s="35"/>
      <c r="U188" s="66"/>
      <c r="V188" s="29" t="str">
        <f t="shared" si="30"/>
        <v/>
      </c>
      <c r="W188" s="29" t="str">
        <f t="shared" si="31"/>
        <v/>
      </c>
      <c r="X188" s="30" t="str">
        <f t="shared" si="32"/>
        <v/>
      </c>
      <c r="Y188" s="36"/>
      <c r="Z188" s="37"/>
      <c r="AA188" s="37"/>
      <c r="JG188" s="31" t="str">
        <f t="shared" si="33"/>
        <v/>
      </c>
      <c r="JH188" s="31" t="str">
        <f t="shared" si="34"/>
        <v/>
      </c>
    </row>
    <row r="189" spans="1:268" s="31" customFormat="1" x14ac:dyDescent="0.4">
      <c r="A189" s="32"/>
      <c r="B189" s="32"/>
      <c r="C189" s="32"/>
      <c r="D189" s="32"/>
      <c r="E189" s="38"/>
      <c r="F189" s="61"/>
      <c r="G189" s="33"/>
      <c r="H189" s="33"/>
      <c r="I189" s="27" t="str">
        <f t="shared" si="28"/>
        <v/>
      </c>
      <c r="J189" s="33"/>
      <c r="K189" s="28">
        <f t="shared" si="26"/>
        <v>0</v>
      </c>
      <c r="L189" s="28">
        <f>IF(AND($Y189&lt;&gt;"",$X189&lt;&gt;""),MAX(0,ROUND(($X189*$Y189),0)-NETWORKDAYS.INTL($V189,基準日,1)),0)</f>
        <v>0</v>
      </c>
      <c r="M189" s="28">
        <f t="shared" ca="1" si="27"/>
        <v>0</v>
      </c>
      <c r="N189" s="28">
        <f t="shared" ca="1" si="29"/>
        <v>0</v>
      </c>
      <c r="O189" s="34"/>
      <c r="P189" s="34"/>
      <c r="Q189" s="71" t="str" cm="1">
        <f t="array" ref="Q189">IF(SUMPRODUCT(--(B189:E189&lt;&gt;""))&gt;0,"○","")</f>
        <v/>
      </c>
      <c r="R189" s="35"/>
      <c r="S189" s="35"/>
      <c r="T189" s="35"/>
      <c r="U189" s="66"/>
      <c r="V189" s="29" t="str">
        <f t="shared" si="30"/>
        <v/>
      </c>
      <c r="W189" s="29" t="str">
        <f t="shared" si="31"/>
        <v/>
      </c>
      <c r="X189" s="30" t="str">
        <f t="shared" si="32"/>
        <v/>
      </c>
      <c r="Y189" s="36"/>
      <c r="Z189" s="37"/>
      <c r="AA189" s="37"/>
      <c r="JG189" s="31" t="str">
        <f t="shared" si="33"/>
        <v/>
      </c>
      <c r="JH189" s="31" t="str">
        <f t="shared" si="34"/>
        <v/>
      </c>
    </row>
    <row r="190" spans="1:268" s="31" customFormat="1" x14ac:dyDescent="0.4">
      <c r="A190" s="32"/>
      <c r="B190" s="32"/>
      <c r="C190" s="32"/>
      <c r="D190" s="32"/>
      <c r="E190" s="38"/>
      <c r="F190" s="61"/>
      <c r="G190" s="33"/>
      <c r="H190" s="33"/>
      <c r="I190" s="27" t="str">
        <f t="shared" si="28"/>
        <v/>
      </c>
      <c r="J190" s="33"/>
      <c r="K190" s="28">
        <f t="shared" si="26"/>
        <v>0</v>
      </c>
      <c r="L190" s="28">
        <f>IF(AND($Y190&lt;&gt;"",$X190&lt;&gt;""),MAX(0,ROUND(($X190*$Y190),0)-NETWORKDAYS.INTL($V190,基準日,1)),0)</f>
        <v>0</v>
      </c>
      <c r="M190" s="28">
        <f t="shared" ca="1" si="27"/>
        <v>0</v>
      </c>
      <c r="N190" s="28">
        <f t="shared" ca="1" si="29"/>
        <v>0</v>
      </c>
      <c r="O190" s="34"/>
      <c r="P190" s="34"/>
      <c r="Q190" s="71" t="str" cm="1">
        <f t="array" ref="Q190">IF(SUMPRODUCT(--(B190:E190&lt;&gt;""))&gt;0,"○","")</f>
        <v/>
      </c>
      <c r="R190" s="35"/>
      <c r="S190" s="35"/>
      <c r="T190" s="35"/>
      <c r="U190" s="66"/>
      <c r="V190" s="29" t="str">
        <f t="shared" si="30"/>
        <v/>
      </c>
      <c r="W190" s="29" t="str">
        <f t="shared" si="31"/>
        <v/>
      </c>
      <c r="X190" s="30" t="str">
        <f t="shared" si="32"/>
        <v/>
      </c>
      <c r="Y190" s="36"/>
      <c r="Z190" s="37"/>
      <c r="AA190" s="37"/>
      <c r="JG190" s="31" t="str">
        <f t="shared" si="33"/>
        <v/>
      </c>
      <c r="JH190" s="31" t="str">
        <f t="shared" si="34"/>
        <v/>
      </c>
    </row>
    <row r="191" spans="1:268" s="31" customFormat="1" x14ac:dyDescent="0.4">
      <c r="A191" s="32"/>
      <c r="B191" s="32"/>
      <c r="C191" s="32"/>
      <c r="D191" s="32"/>
      <c r="E191" s="38"/>
      <c r="F191" s="61"/>
      <c r="G191" s="33"/>
      <c r="H191" s="33"/>
      <c r="I191" s="27" t="str">
        <f t="shared" si="28"/>
        <v/>
      </c>
      <c r="J191" s="33"/>
      <c r="K191" s="28">
        <f t="shared" si="26"/>
        <v>0</v>
      </c>
      <c r="L191" s="28">
        <f>IF(AND($Y191&lt;&gt;"",$X191&lt;&gt;""),MAX(0,ROUND(($X191*$Y191),0)-NETWORKDAYS.INTL($V191,基準日,1)),0)</f>
        <v>0</v>
      </c>
      <c r="M191" s="28">
        <f t="shared" ca="1" si="27"/>
        <v>0</v>
      </c>
      <c r="N191" s="28">
        <f t="shared" ca="1" si="29"/>
        <v>0</v>
      </c>
      <c r="O191" s="34"/>
      <c r="P191" s="34"/>
      <c r="Q191" s="71" t="str" cm="1">
        <f t="array" ref="Q191">IF(SUMPRODUCT(--(B191:E191&lt;&gt;""))&gt;0,"○","")</f>
        <v/>
      </c>
      <c r="R191" s="35"/>
      <c r="S191" s="35"/>
      <c r="T191" s="35"/>
      <c r="U191" s="66"/>
      <c r="V191" s="29" t="str">
        <f t="shared" si="30"/>
        <v/>
      </c>
      <c r="W191" s="29" t="str">
        <f t="shared" si="31"/>
        <v/>
      </c>
      <c r="X191" s="30" t="str">
        <f t="shared" si="32"/>
        <v/>
      </c>
      <c r="Y191" s="36"/>
      <c r="Z191" s="37"/>
      <c r="AA191" s="37"/>
      <c r="JG191" s="31" t="str">
        <f t="shared" si="33"/>
        <v/>
      </c>
      <c r="JH191" s="31" t="str">
        <f t="shared" si="34"/>
        <v/>
      </c>
    </row>
    <row r="192" spans="1:268" s="31" customFormat="1" x14ac:dyDescent="0.4">
      <c r="A192" s="32"/>
      <c r="B192" s="32"/>
      <c r="C192" s="32"/>
      <c r="D192" s="32"/>
      <c r="E192" s="38"/>
      <c r="F192" s="61"/>
      <c r="G192" s="33"/>
      <c r="H192" s="33"/>
      <c r="I192" s="27" t="str">
        <f t="shared" si="28"/>
        <v/>
      </c>
      <c r="J192" s="33"/>
      <c r="K192" s="28">
        <f t="shared" si="26"/>
        <v>0</v>
      </c>
      <c r="L192" s="28">
        <f>IF(AND($Y192&lt;&gt;"",$X192&lt;&gt;""),MAX(0,ROUND(($X192*$Y192),0)-NETWORKDAYS.INTL($V192,基準日,1)),0)</f>
        <v>0</v>
      </c>
      <c r="M192" s="28">
        <f t="shared" ca="1" si="27"/>
        <v>0</v>
      </c>
      <c r="N192" s="28">
        <f t="shared" ca="1" si="29"/>
        <v>0</v>
      </c>
      <c r="O192" s="34"/>
      <c r="P192" s="34"/>
      <c r="Q192" s="71" t="str" cm="1">
        <f t="array" ref="Q192">IF(SUMPRODUCT(--(B192:E192&lt;&gt;""))&gt;0,"○","")</f>
        <v/>
      </c>
      <c r="R192" s="35"/>
      <c r="S192" s="35"/>
      <c r="T192" s="35"/>
      <c r="U192" s="66"/>
      <c r="V192" s="29" t="str">
        <f t="shared" si="30"/>
        <v/>
      </c>
      <c r="W192" s="29" t="str">
        <f t="shared" si="31"/>
        <v/>
      </c>
      <c r="X192" s="30" t="str">
        <f t="shared" si="32"/>
        <v/>
      </c>
      <c r="Y192" s="36"/>
      <c r="Z192" s="37"/>
      <c r="AA192" s="37"/>
      <c r="JG192" s="31" t="str">
        <f t="shared" si="33"/>
        <v/>
      </c>
      <c r="JH192" s="31" t="str">
        <f t="shared" si="34"/>
        <v/>
      </c>
    </row>
    <row r="193" spans="1:268" s="31" customFormat="1" x14ac:dyDescent="0.4">
      <c r="A193" s="32"/>
      <c r="B193" s="32"/>
      <c r="C193" s="32"/>
      <c r="D193" s="32"/>
      <c r="E193" s="38"/>
      <c r="F193" s="61"/>
      <c r="G193" s="33"/>
      <c r="H193" s="33"/>
      <c r="I193" s="27" t="str">
        <f t="shared" si="28"/>
        <v/>
      </c>
      <c r="J193" s="33"/>
      <c r="K193" s="28">
        <f t="shared" si="26"/>
        <v>0</v>
      </c>
      <c r="L193" s="28">
        <f>IF(AND($Y193&lt;&gt;"",$X193&lt;&gt;""),MAX(0,ROUND(($X193*$Y193),0)-NETWORKDAYS.INTL($V193,基準日,1)),0)</f>
        <v>0</v>
      </c>
      <c r="M193" s="28">
        <f t="shared" ca="1" si="27"/>
        <v>0</v>
      </c>
      <c r="N193" s="28">
        <f t="shared" ca="1" si="29"/>
        <v>0</v>
      </c>
      <c r="O193" s="34"/>
      <c r="P193" s="34"/>
      <c r="Q193" s="71" t="str" cm="1">
        <f t="array" ref="Q193">IF(SUMPRODUCT(--(B193:E193&lt;&gt;""))&gt;0,"○","")</f>
        <v/>
      </c>
      <c r="R193" s="35"/>
      <c r="S193" s="35"/>
      <c r="T193" s="35"/>
      <c r="U193" s="66"/>
      <c r="V193" s="29" t="str">
        <f t="shared" si="30"/>
        <v/>
      </c>
      <c r="W193" s="29" t="str">
        <f t="shared" si="31"/>
        <v/>
      </c>
      <c r="X193" s="30" t="str">
        <f t="shared" si="32"/>
        <v/>
      </c>
      <c r="Y193" s="36"/>
      <c r="Z193" s="37"/>
      <c r="AA193" s="37"/>
      <c r="JG193" s="31" t="str">
        <f t="shared" si="33"/>
        <v/>
      </c>
      <c r="JH193" s="31" t="str">
        <f t="shared" si="34"/>
        <v/>
      </c>
    </row>
    <row r="194" spans="1:268" s="31" customFormat="1" x14ac:dyDescent="0.4">
      <c r="A194" s="32"/>
      <c r="B194" s="32"/>
      <c r="C194" s="32"/>
      <c r="D194" s="32"/>
      <c r="E194" s="38"/>
      <c r="F194" s="61"/>
      <c r="G194" s="33"/>
      <c r="H194" s="33"/>
      <c r="I194" s="27" t="str">
        <f t="shared" si="28"/>
        <v/>
      </c>
      <c r="J194" s="33"/>
      <c r="K194" s="28">
        <f t="shared" si="26"/>
        <v>0</v>
      </c>
      <c r="L194" s="28">
        <f>IF(AND($Y194&lt;&gt;"",$X194&lt;&gt;""),MAX(0,ROUND(($X194*$Y194),0)-NETWORKDAYS.INTL($V194,基準日,1)),0)</f>
        <v>0</v>
      </c>
      <c r="M194" s="28">
        <f t="shared" ca="1" si="27"/>
        <v>0</v>
      </c>
      <c r="N194" s="28">
        <f t="shared" ca="1" si="29"/>
        <v>0</v>
      </c>
      <c r="O194" s="34"/>
      <c r="P194" s="34"/>
      <c r="Q194" s="71" t="str" cm="1">
        <f t="array" ref="Q194">IF(SUMPRODUCT(--(B194:E194&lt;&gt;""))&gt;0,"○","")</f>
        <v/>
      </c>
      <c r="R194" s="35"/>
      <c r="S194" s="35"/>
      <c r="T194" s="35"/>
      <c r="U194" s="66"/>
      <c r="V194" s="29" t="str">
        <f t="shared" si="30"/>
        <v/>
      </c>
      <c r="W194" s="29" t="str">
        <f t="shared" si="31"/>
        <v/>
      </c>
      <c r="X194" s="30" t="str">
        <f t="shared" si="32"/>
        <v/>
      </c>
      <c r="Y194" s="36"/>
      <c r="Z194" s="37"/>
      <c r="AA194" s="37"/>
      <c r="JG194" s="31" t="str">
        <f t="shared" si="33"/>
        <v/>
      </c>
      <c r="JH194" s="31" t="str">
        <f t="shared" si="34"/>
        <v/>
      </c>
    </row>
    <row r="195" spans="1:268" s="31" customFormat="1" x14ac:dyDescent="0.4">
      <c r="A195" s="32"/>
      <c r="B195" s="32"/>
      <c r="C195" s="32"/>
      <c r="D195" s="32"/>
      <c r="E195" s="38"/>
      <c r="F195" s="61"/>
      <c r="G195" s="33"/>
      <c r="H195" s="33"/>
      <c r="I195" s="27" t="str">
        <f t="shared" si="28"/>
        <v/>
      </c>
      <c r="J195" s="33"/>
      <c r="K195" s="28">
        <f t="shared" si="26"/>
        <v>0</v>
      </c>
      <c r="L195" s="28">
        <f>IF(AND($Y195&lt;&gt;"",$X195&lt;&gt;""),MAX(0,ROUND(($X195*$Y195),0)-NETWORKDAYS.INTL($V195,基準日,1)),0)</f>
        <v>0</v>
      </c>
      <c r="M195" s="28">
        <f t="shared" ca="1" si="27"/>
        <v>0</v>
      </c>
      <c r="N195" s="28">
        <f t="shared" ca="1" si="29"/>
        <v>0</v>
      </c>
      <c r="O195" s="34"/>
      <c r="P195" s="34"/>
      <c r="Q195" s="71" t="str" cm="1">
        <f t="array" ref="Q195">IF(SUMPRODUCT(--(B195:E195&lt;&gt;""))&gt;0,"○","")</f>
        <v/>
      </c>
      <c r="R195" s="35"/>
      <c r="S195" s="35"/>
      <c r="T195" s="35"/>
      <c r="U195" s="66"/>
      <c r="V195" s="29" t="str">
        <f t="shared" si="30"/>
        <v/>
      </c>
      <c r="W195" s="29" t="str">
        <f t="shared" si="31"/>
        <v/>
      </c>
      <c r="X195" s="30" t="str">
        <f t="shared" si="32"/>
        <v/>
      </c>
      <c r="Y195" s="36"/>
      <c r="Z195" s="37"/>
      <c r="AA195" s="37"/>
      <c r="JG195" s="31" t="str">
        <f t="shared" si="33"/>
        <v/>
      </c>
      <c r="JH195" s="31" t="str">
        <f t="shared" si="34"/>
        <v/>
      </c>
    </row>
    <row r="196" spans="1:268" s="31" customFormat="1" x14ac:dyDescent="0.4">
      <c r="A196" s="32"/>
      <c r="B196" s="32"/>
      <c r="C196" s="32"/>
      <c r="D196" s="32"/>
      <c r="E196" s="38"/>
      <c r="F196" s="61"/>
      <c r="G196" s="33"/>
      <c r="H196" s="33"/>
      <c r="I196" s="27" t="str">
        <f t="shared" si="28"/>
        <v/>
      </c>
      <c r="J196" s="33"/>
      <c r="K196" s="28">
        <f t="shared" si="26"/>
        <v>0</v>
      </c>
      <c r="L196" s="28">
        <f>IF(AND($Y196&lt;&gt;"",$X196&lt;&gt;""),MAX(0,ROUND(($X196*$Y196),0)-NETWORKDAYS.INTL($V196,基準日,1)),0)</f>
        <v>0</v>
      </c>
      <c r="M196" s="28">
        <f t="shared" ca="1" si="27"/>
        <v>0</v>
      </c>
      <c r="N196" s="28">
        <f t="shared" ca="1" si="29"/>
        <v>0</v>
      </c>
      <c r="O196" s="34"/>
      <c r="P196" s="34"/>
      <c r="Q196" s="71" t="str" cm="1">
        <f t="array" ref="Q196">IF(SUMPRODUCT(--(B196:E196&lt;&gt;""))&gt;0,"○","")</f>
        <v/>
      </c>
      <c r="R196" s="35"/>
      <c r="S196" s="35"/>
      <c r="T196" s="35"/>
      <c r="U196" s="66"/>
      <c r="V196" s="29" t="str">
        <f t="shared" si="30"/>
        <v/>
      </c>
      <c r="W196" s="29" t="str">
        <f t="shared" si="31"/>
        <v/>
      </c>
      <c r="X196" s="30" t="str">
        <f t="shared" si="32"/>
        <v/>
      </c>
      <c r="Y196" s="36"/>
      <c r="Z196" s="37"/>
      <c r="AA196" s="37"/>
      <c r="JG196" s="31" t="str">
        <f t="shared" si="33"/>
        <v/>
      </c>
      <c r="JH196" s="31" t="str">
        <f t="shared" si="34"/>
        <v/>
      </c>
    </row>
    <row r="197" spans="1:268" s="31" customFormat="1" x14ac:dyDescent="0.4">
      <c r="A197" s="32"/>
      <c r="B197" s="32"/>
      <c r="C197" s="32"/>
      <c r="D197" s="32"/>
      <c r="E197" s="38"/>
      <c r="F197" s="61"/>
      <c r="G197" s="33"/>
      <c r="H197" s="33"/>
      <c r="I197" s="27" t="str">
        <f t="shared" si="28"/>
        <v/>
      </c>
      <c r="J197" s="33"/>
      <c r="K197" s="28">
        <f t="shared" ref="K197:K260" si="35">IF($Z197&lt;&gt;"",IF($W197&gt;=$Z197,$W197-$Z197,$X197)*$Y197,0)</f>
        <v>0</v>
      </c>
      <c r="L197" s="28">
        <f>IF(AND($Y197&lt;&gt;"",$X197&lt;&gt;""),MAX(0,ROUND(($X197*$Y197),0)-NETWORKDAYS.INTL($V197,基準日,1)),0)</f>
        <v>0</v>
      </c>
      <c r="M197" s="28">
        <f t="shared" ref="M197:M260" ca="1" si="36">IF(AND(IFERROR(VALUE($X197),0),$Z197="",$V197&lt;基準日),基準日-$V197,0)</f>
        <v>0</v>
      </c>
      <c r="N197" s="28">
        <f t="shared" ca="1" si="29"/>
        <v>0</v>
      </c>
      <c r="O197" s="34"/>
      <c r="P197" s="34"/>
      <c r="Q197" s="71" t="str" cm="1">
        <f t="array" ref="Q197">IF(SUMPRODUCT(--(B197:E197&lt;&gt;""))&gt;0,"○","")</f>
        <v/>
      </c>
      <c r="R197" s="35"/>
      <c r="S197" s="35"/>
      <c r="T197" s="35"/>
      <c r="U197" s="66"/>
      <c r="V197" s="29" t="str">
        <f t="shared" si="30"/>
        <v/>
      </c>
      <c r="W197" s="29" t="str">
        <f t="shared" si="31"/>
        <v/>
      </c>
      <c r="X197" s="30" t="str">
        <f t="shared" si="32"/>
        <v/>
      </c>
      <c r="Y197" s="36"/>
      <c r="Z197" s="37"/>
      <c r="AA197" s="37"/>
      <c r="JG197" s="31" t="str">
        <f t="shared" si="33"/>
        <v/>
      </c>
      <c r="JH197" s="31" t="str">
        <f t="shared" si="34"/>
        <v/>
      </c>
    </row>
    <row r="198" spans="1:268" s="31" customFormat="1" x14ac:dyDescent="0.4">
      <c r="A198" s="32"/>
      <c r="B198" s="32"/>
      <c r="C198" s="32"/>
      <c r="D198" s="32"/>
      <c r="E198" s="38"/>
      <c r="F198" s="61"/>
      <c r="G198" s="33"/>
      <c r="H198" s="33"/>
      <c r="I198" s="27" t="str">
        <f t="shared" ref="I198:I261" si="37">IF(ISBLANK(G198),"","○")</f>
        <v/>
      </c>
      <c r="J198" s="33"/>
      <c r="K198" s="28">
        <f t="shared" si="35"/>
        <v>0</v>
      </c>
      <c r="L198" s="28">
        <f>IF(AND($Y198&lt;&gt;"",$X198&lt;&gt;""),MAX(0,ROUND(($X198*$Y198),0)-NETWORKDAYS.INTL($V198,基準日,1)),0)</f>
        <v>0</v>
      </c>
      <c r="M198" s="28">
        <f t="shared" ca="1" si="36"/>
        <v>0</v>
      </c>
      <c r="N198" s="28">
        <f t="shared" ref="N198:N261" ca="1" si="38">MAX(L198:M198)</f>
        <v>0</v>
      </c>
      <c r="O198" s="34"/>
      <c r="P198" s="34"/>
      <c r="Q198" s="71" t="str" cm="1">
        <f t="array" ref="Q198">IF(SUMPRODUCT(--(B198:E198&lt;&gt;""))&gt;0,"○","")</f>
        <v/>
      </c>
      <c r="R198" s="35"/>
      <c r="S198" s="35"/>
      <c r="T198" s="35"/>
      <c r="U198" s="66"/>
      <c r="V198" s="29" t="str">
        <f t="shared" ref="V198:V261" si="39">IF(NOT(ISBLANK(S198)),S198,IF(AND(NOT(ISBLANK(T198)),NOT(ISBLANK(U198))),IF(NOT(JH198),T198-U198+1,WORKDAY.INTL(T198,-U198+1,1)),""))</f>
        <v/>
      </c>
      <c r="W198" s="29" t="str">
        <f t="shared" ref="W198:W261" si="40">IF(NOT(ISBLANK(T198)),T198,IF(AND(NOT(ISBLANK(S198)),NOT(ISBLANK(U198))),IF(NOT(JG198),S198+U198-1,WORKDAY.INTL(S198,U198-1,1)),""))</f>
        <v/>
      </c>
      <c r="X198" s="30" t="str">
        <f t="shared" ref="X198:X261" si="41">IF(NOT(ISBLANK(U198)),U198,IF(AND(NOT(ISBLANK(S198)),NOT(ISBLANK(T198))),IF(S198&lt;=T198,IF(OR(NOT(JG198),NOT(JH198)),T198-S198+1,NETWORKDAYS.INTL(S198,T198,1)),0),""))</f>
        <v/>
      </c>
      <c r="Y198" s="36"/>
      <c r="Z198" s="37"/>
      <c r="AA198" s="37"/>
      <c r="JG198" s="31" t="str">
        <f t="shared" ref="JG198:JG261" si="42">IF(ISBLANK(S198),"",IF(OR(WEEKDAY(S198,2)=6,WEEKDAY(S198,2)=7),FALSE,TRUE))</f>
        <v/>
      </c>
      <c r="JH198" s="31" t="str">
        <f t="shared" ref="JH198:JH261" si="43">IF(ISBLANK(T198),"",IF(OR(WEEKDAY(T198,2)=6,WEEKDAY(T198,2)=7),FALSE,TRUE))</f>
        <v/>
      </c>
    </row>
    <row r="199" spans="1:268" s="31" customFormat="1" x14ac:dyDescent="0.4">
      <c r="A199" s="32"/>
      <c r="B199" s="32"/>
      <c r="C199" s="32"/>
      <c r="D199" s="32"/>
      <c r="E199" s="38"/>
      <c r="F199" s="61"/>
      <c r="G199" s="33"/>
      <c r="H199" s="33"/>
      <c r="I199" s="27" t="str">
        <f t="shared" si="37"/>
        <v/>
      </c>
      <c r="J199" s="33"/>
      <c r="K199" s="28">
        <f t="shared" si="35"/>
        <v>0</v>
      </c>
      <c r="L199" s="28">
        <f>IF(AND($Y199&lt;&gt;"",$X199&lt;&gt;""),MAX(0,ROUND(($X199*$Y199),0)-NETWORKDAYS.INTL($V199,基準日,1)),0)</f>
        <v>0</v>
      </c>
      <c r="M199" s="28">
        <f t="shared" ca="1" si="36"/>
        <v>0</v>
      </c>
      <c r="N199" s="28">
        <f t="shared" ca="1" si="38"/>
        <v>0</v>
      </c>
      <c r="O199" s="34"/>
      <c r="P199" s="34"/>
      <c r="Q199" s="71" t="str" cm="1">
        <f t="array" ref="Q199">IF(SUMPRODUCT(--(B199:E199&lt;&gt;""))&gt;0,"○","")</f>
        <v/>
      </c>
      <c r="R199" s="35"/>
      <c r="S199" s="35"/>
      <c r="T199" s="35"/>
      <c r="U199" s="66"/>
      <c r="V199" s="29" t="str">
        <f t="shared" si="39"/>
        <v/>
      </c>
      <c r="W199" s="29" t="str">
        <f t="shared" si="40"/>
        <v/>
      </c>
      <c r="X199" s="30" t="str">
        <f t="shared" si="41"/>
        <v/>
      </c>
      <c r="Y199" s="36"/>
      <c r="Z199" s="37"/>
      <c r="AA199" s="37"/>
      <c r="JG199" s="31" t="str">
        <f t="shared" si="42"/>
        <v/>
      </c>
      <c r="JH199" s="31" t="str">
        <f t="shared" si="43"/>
        <v/>
      </c>
    </row>
    <row r="200" spans="1:268" s="31" customFormat="1" x14ac:dyDescent="0.4">
      <c r="A200" s="32"/>
      <c r="B200" s="32"/>
      <c r="C200" s="32"/>
      <c r="D200" s="32"/>
      <c r="E200" s="38"/>
      <c r="F200" s="61"/>
      <c r="G200" s="33"/>
      <c r="H200" s="33"/>
      <c r="I200" s="27" t="str">
        <f t="shared" si="37"/>
        <v/>
      </c>
      <c r="J200" s="33"/>
      <c r="K200" s="28">
        <f t="shared" si="35"/>
        <v>0</v>
      </c>
      <c r="L200" s="28">
        <f>IF(AND($Y200&lt;&gt;"",$X200&lt;&gt;""),MAX(0,ROUND(($X200*$Y200),0)-NETWORKDAYS.INTL($V200,基準日,1)),0)</f>
        <v>0</v>
      </c>
      <c r="M200" s="28">
        <f t="shared" ca="1" si="36"/>
        <v>0</v>
      </c>
      <c r="N200" s="28">
        <f t="shared" ca="1" si="38"/>
        <v>0</v>
      </c>
      <c r="O200" s="34"/>
      <c r="P200" s="34"/>
      <c r="Q200" s="71" t="str" cm="1">
        <f t="array" ref="Q200">IF(SUMPRODUCT(--(B200:E200&lt;&gt;""))&gt;0,"○","")</f>
        <v/>
      </c>
      <c r="R200" s="35"/>
      <c r="S200" s="35"/>
      <c r="T200" s="35"/>
      <c r="U200" s="66"/>
      <c r="V200" s="29" t="str">
        <f t="shared" si="39"/>
        <v/>
      </c>
      <c r="W200" s="29" t="str">
        <f t="shared" si="40"/>
        <v/>
      </c>
      <c r="X200" s="30" t="str">
        <f t="shared" si="41"/>
        <v/>
      </c>
      <c r="Y200" s="36"/>
      <c r="Z200" s="37"/>
      <c r="AA200" s="37"/>
      <c r="JG200" s="31" t="str">
        <f t="shared" si="42"/>
        <v/>
      </c>
      <c r="JH200" s="31" t="str">
        <f t="shared" si="43"/>
        <v/>
      </c>
    </row>
    <row r="201" spans="1:268" s="31" customFormat="1" x14ac:dyDescent="0.4">
      <c r="A201" s="32"/>
      <c r="B201" s="32"/>
      <c r="C201" s="32"/>
      <c r="D201" s="32"/>
      <c r="E201" s="38"/>
      <c r="F201" s="61"/>
      <c r="G201" s="33"/>
      <c r="H201" s="33"/>
      <c r="I201" s="27" t="str">
        <f t="shared" si="37"/>
        <v/>
      </c>
      <c r="J201" s="33"/>
      <c r="K201" s="28">
        <f t="shared" si="35"/>
        <v>0</v>
      </c>
      <c r="L201" s="28">
        <f>IF(AND($Y201&lt;&gt;"",$X201&lt;&gt;""),MAX(0,ROUND(($X201*$Y201),0)-NETWORKDAYS.INTL($V201,基準日,1)),0)</f>
        <v>0</v>
      </c>
      <c r="M201" s="28">
        <f t="shared" ca="1" si="36"/>
        <v>0</v>
      </c>
      <c r="N201" s="28">
        <f t="shared" ca="1" si="38"/>
        <v>0</v>
      </c>
      <c r="O201" s="34"/>
      <c r="P201" s="34"/>
      <c r="Q201" s="71" t="str" cm="1">
        <f t="array" ref="Q201">IF(SUMPRODUCT(--(B201:E201&lt;&gt;""))&gt;0,"○","")</f>
        <v/>
      </c>
      <c r="R201" s="35"/>
      <c r="S201" s="35"/>
      <c r="T201" s="35"/>
      <c r="U201" s="66"/>
      <c r="V201" s="29" t="str">
        <f t="shared" si="39"/>
        <v/>
      </c>
      <c r="W201" s="29" t="str">
        <f t="shared" si="40"/>
        <v/>
      </c>
      <c r="X201" s="30" t="str">
        <f t="shared" si="41"/>
        <v/>
      </c>
      <c r="Y201" s="36"/>
      <c r="Z201" s="37"/>
      <c r="AA201" s="37"/>
      <c r="JG201" s="31" t="str">
        <f t="shared" si="42"/>
        <v/>
      </c>
      <c r="JH201" s="31" t="str">
        <f t="shared" si="43"/>
        <v/>
      </c>
    </row>
    <row r="202" spans="1:268" s="31" customFormat="1" x14ac:dyDescent="0.4">
      <c r="A202" s="32"/>
      <c r="B202" s="32"/>
      <c r="C202" s="32"/>
      <c r="D202" s="32"/>
      <c r="E202" s="38"/>
      <c r="F202" s="61"/>
      <c r="G202" s="33"/>
      <c r="H202" s="33"/>
      <c r="I202" s="27" t="str">
        <f t="shared" si="37"/>
        <v/>
      </c>
      <c r="J202" s="33"/>
      <c r="K202" s="28">
        <f t="shared" si="35"/>
        <v>0</v>
      </c>
      <c r="L202" s="28">
        <f>IF(AND($Y202&lt;&gt;"",$X202&lt;&gt;""),MAX(0,ROUND(($X202*$Y202),0)-NETWORKDAYS.INTL($V202,基準日,1)),0)</f>
        <v>0</v>
      </c>
      <c r="M202" s="28">
        <f t="shared" ca="1" si="36"/>
        <v>0</v>
      </c>
      <c r="N202" s="28">
        <f t="shared" ca="1" si="38"/>
        <v>0</v>
      </c>
      <c r="O202" s="34"/>
      <c r="P202" s="34"/>
      <c r="Q202" s="71" t="str" cm="1">
        <f t="array" ref="Q202">IF(SUMPRODUCT(--(B202:E202&lt;&gt;""))&gt;0,"○","")</f>
        <v/>
      </c>
      <c r="R202" s="35"/>
      <c r="S202" s="35"/>
      <c r="T202" s="35"/>
      <c r="U202" s="66"/>
      <c r="V202" s="29" t="str">
        <f t="shared" si="39"/>
        <v/>
      </c>
      <c r="W202" s="29" t="str">
        <f t="shared" si="40"/>
        <v/>
      </c>
      <c r="X202" s="30" t="str">
        <f t="shared" si="41"/>
        <v/>
      </c>
      <c r="Y202" s="36"/>
      <c r="Z202" s="37"/>
      <c r="AA202" s="37"/>
      <c r="JG202" s="31" t="str">
        <f t="shared" si="42"/>
        <v/>
      </c>
      <c r="JH202" s="31" t="str">
        <f t="shared" si="43"/>
        <v/>
      </c>
    </row>
    <row r="203" spans="1:268" s="31" customFormat="1" x14ac:dyDescent="0.4">
      <c r="A203" s="32"/>
      <c r="B203" s="32"/>
      <c r="C203" s="32"/>
      <c r="D203" s="32"/>
      <c r="E203" s="38"/>
      <c r="F203" s="61"/>
      <c r="G203" s="33"/>
      <c r="H203" s="33"/>
      <c r="I203" s="27" t="str">
        <f t="shared" si="37"/>
        <v/>
      </c>
      <c r="J203" s="33"/>
      <c r="K203" s="28">
        <f t="shared" si="35"/>
        <v>0</v>
      </c>
      <c r="L203" s="28">
        <f>IF(AND($Y203&lt;&gt;"",$X203&lt;&gt;""),MAX(0,ROUND(($X203*$Y203),0)-NETWORKDAYS.INTL($V203,基準日,1)),0)</f>
        <v>0</v>
      </c>
      <c r="M203" s="28">
        <f t="shared" ca="1" si="36"/>
        <v>0</v>
      </c>
      <c r="N203" s="28">
        <f t="shared" ca="1" si="38"/>
        <v>0</v>
      </c>
      <c r="O203" s="34"/>
      <c r="P203" s="34"/>
      <c r="Q203" s="71" t="str" cm="1">
        <f t="array" ref="Q203">IF(SUMPRODUCT(--(B203:E203&lt;&gt;""))&gt;0,"○","")</f>
        <v/>
      </c>
      <c r="R203" s="35"/>
      <c r="S203" s="35"/>
      <c r="T203" s="35"/>
      <c r="U203" s="66"/>
      <c r="V203" s="29" t="str">
        <f t="shared" si="39"/>
        <v/>
      </c>
      <c r="W203" s="29" t="str">
        <f t="shared" si="40"/>
        <v/>
      </c>
      <c r="X203" s="30" t="str">
        <f t="shared" si="41"/>
        <v/>
      </c>
      <c r="Y203" s="36"/>
      <c r="Z203" s="37"/>
      <c r="AA203" s="37"/>
      <c r="JG203" s="31" t="str">
        <f t="shared" si="42"/>
        <v/>
      </c>
      <c r="JH203" s="31" t="str">
        <f t="shared" si="43"/>
        <v/>
      </c>
    </row>
    <row r="204" spans="1:268" s="31" customFormat="1" x14ac:dyDescent="0.4">
      <c r="A204" s="32"/>
      <c r="B204" s="32"/>
      <c r="C204" s="32"/>
      <c r="D204" s="32"/>
      <c r="E204" s="38"/>
      <c r="F204" s="61"/>
      <c r="G204" s="33"/>
      <c r="H204" s="33"/>
      <c r="I204" s="27" t="str">
        <f t="shared" si="37"/>
        <v/>
      </c>
      <c r="J204" s="33"/>
      <c r="K204" s="28">
        <f t="shared" si="35"/>
        <v>0</v>
      </c>
      <c r="L204" s="28">
        <f>IF(AND($Y204&lt;&gt;"",$X204&lt;&gt;""),MAX(0,ROUND(($X204*$Y204),0)-NETWORKDAYS.INTL($V204,基準日,1)),0)</f>
        <v>0</v>
      </c>
      <c r="M204" s="28">
        <f t="shared" ca="1" si="36"/>
        <v>0</v>
      </c>
      <c r="N204" s="28">
        <f t="shared" ca="1" si="38"/>
        <v>0</v>
      </c>
      <c r="O204" s="34"/>
      <c r="P204" s="34"/>
      <c r="Q204" s="71" t="str" cm="1">
        <f t="array" ref="Q204">IF(SUMPRODUCT(--(B204:E204&lt;&gt;""))&gt;0,"○","")</f>
        <v/>
      </c>
      <c r="R204" s="35"/>
      <c r="S204" s="35"/>
      <c r="T204" s="35"/>
      <c r="U204" s="66"/>
      <c r="V204" s="29" t="str">
        <f t="shared" si="39"/>
        <v/>
      </c>
      <c r="W204" s="29" t="str">
        <f t="shared" si="40"/>
        <v/>
      </c>
      <c r="X204" s="30" t="str">
        <f t="shared" si="41"/>
        <v/>
      </c>
      <c r="Y204" s="36"/>
      <c r="Z204" s="37"/>
      <c r="AA204" s="37"/>
      <c r="JG204" s="31" t="str">
        <f t="shared" si="42"/>
        <v/>
      </c>
      <c r="JH204" s="31" t="str">
        <f t="shared" si="43"/>
        <v/>
      </c>
    </row>
    <row r="205" spans="1:268" s="31" customFormat="1" x14ac:dyDescent="0.4">
      <c r="A205" s="32"/>
      <c r="B205" s="32"/>
      <c r="C205" s="32"/>
      <c r="D205" s="32"/>
      <c r="E205" s="38"/>
      <c r="F205" s="61"/>
      <c r="G205" s="33"/>
      <c r="H205" s="33"/>
      <c r="I205" s="27" t="str">
        <f t="shared" si="37"/>
        <v/>
      </c>
      <c r="J205" s="33"/>
      <c r="K205" s="28">
        <f t="shared" si="35"/>
        <v>0</v>
      </c>
      <c r="L205" s="28">
        <f>IF(AND($Y205&lt;&gt;"",$X205&lt;&gt;""),MAX(0,ROUND(($X205*$Y205),0)-NETWORKDAYS.INTL($V205,基準日,1)),0)</f>
        <v>0</v>
      </c>
      <c r="M205" s="28">
        <f t="shared" ca="1" si="36"/>
        <v>0</v>
      </c>
      <c r="N205" s="28">
        <f t="shared" ca="1" si="38"/>
        <v>0</v>
      </c>
      <c r="O205" s="34"/>
      <c r="P205" s="34"/>
      <c r="Q205" s="71" t="str" cm="1">
        <f t="array" ref="Q205">IF(SUMPRODUCT(--(B205:E205&lt;&gt;""))&gt;0,"○","")</f>
        <v/>
      </c>
      <c r="R205" s="35"/>
      <c r="S205" s="35"/>
      <c r="T205" s="35"/>
      <c r="U205" s="66"/>
      <c r="V205" s="29" t="str">
        <f t="shared" si="39"/>
        <v/>
      </c>
      <c r="W205" s="29" t="str">
        <f t="shared" si="40"/>
        <v/>
      </c>
      <c r="X205" s="30" t="str">
        <f t="shared" si="41"/>
        <v/>
      </c>
      <c r="Y205" s="36"/>
      <c r="Z205" s="37"/>
      <c r="AA205" s="37"/>
      <c r="JG205" s="31" t="str">
        <f t="shared" si="42"/>
        <v/>
      </c>
      <c r="JH205" s="31" t="str">
        <f t="shared" si="43"/>
        <v/>
      </c>
    </row>
    <row r="206" spans="1:268" s="31" customFormat="1" x14ac:dyDescent="0.4">
      <c r="A206" s="32"/>
      <c r="B206" s="32"/>
      <c r="C206" s="32"/>
      <c r="D206" s="32"/>
      <c r="E206" s="38"/>
      <c r="F206" s="61"/>
      <c r="G206" s="33"/>
      <c r="H206" s="33"/>
      <c r="I206" s="27" t="str">
        <f t="shared" si="37"/>
        <v/>
      </c>
      <c r="J206" s="33"/>
      <c r="K206" s="28">
        <f t="shared" si="35"/>
        <v>0</v>
      </c>
      <c r="L206" s="28">
        <f>IF(AND($Y206&lt;&gt;"",$X206&lt;&gt;""),MAX(0,ROUND(($X206*$Y206),0)-NETWORKDAYS.INTL($V206,基準日,1)),0)</f>
        <v>0</v>
      </c>
      <c r="M206" s="28">
        <f t="shared" ca="1" si="36"/>
        <v>0</v>
      </c>
      <c r="N206" s="28">
        <f t="shared" ca="1" si="38"/>
        <v>0</v>
      </c>
      <c r="O206" s="34"/>
      <c r="P206" s="34"/>
      <c r="Q206" s="71" t="str" cm="1">
        <f t="array" ref="Q206">IF(SUMPRODUCT(--(B206:E206&lt;&gt;""))&gt;0,"○","")</f>
        <v/>
      </c>
      <c r="R206" s="35"/>
      <c r="S206" s="35"/>
      <c r="T206" s="35"/>
      <c r="U206" s="66"/>
      <c r="V206" s="29" t="str">
        <f t="shared" si="39"/>
        <v/>
      </c>
      <c r="W206" s="29" t="str">
        <f t="shared" si="40"/>
        <v/>
      </c>
      <c r="X206" s="30" t="str">
        <f t="shared" si="41"/>
        <v/>
      </c>
      <c r="Y206" s="36"/>
      <c r="Z206" s="37"/>
      <c r="AA206" s="37"/>
      <c r="JG206" s="31" t="str">
        <f t="shared" si="42"/>
        <v/>
      </c>
      <c r="JH206" s="31" t="str">
        <f t="shared" si="43"/>
        <v/>
      </c>
    </row>
    <row r="207" spans="1:268" s="31" customFormat="1" x14ac:dyDescent="0.4">
      <c r="A207" s="32"/>
      <c r="B207" s="32"/>
      <c r="C207" s="32"/>
      <c r="D207" s="32"/>
      <c r="E207" s="38"/>
      <c r="F207" s="61"/>
      <c r="G207" s="33"/>
      <c r="H207" s="33"/>
      <c r="I207" s="27" t="str">
        <f t="shared" si="37"/>
        <v/>
      </c>
      <c r="J207" s="33"/>
      <c r="K207" s="28">
        <f t="shared" si="35"/>
        <v>0</v>
      </c>
      <c r="L207" s="28">
        <f>IF(AND($Y207&lt;&gt;"",$X207&lt;&gt;""),MAX(0,ROUND(($X207*$Y207),0)-NETWORKDAYS.INTL($V207,基準日,1)),0)</f>
        <v>0</v>
      </c>
      <c r="M207" s="28">
        <f t="shared" ca="1" si="36"/>
        <v>0</v>
      </c>
      <c r="N207" s="28">
        <f t="shared" ca="1" si="38"/>
        <v>0</v>
      </c>
      <c r="O207" s="34"/>
      <c r="P207" s="34"/>
      <c r="Q207" s="71" t="str" cm="1">
        <f t="array" ref="Q207">IF(SUMPRODUCT(--(B207:E207&lt;&gt;""))&gt;0,"○","")</f>
        <v/>
      </c>
      <c r="R207" s="35"/>
      <c r="S207" s="35"/>
      <c r="T207" s="35"/>
      <c r="U207" s="66"/>
      <c r="V207" s="29" t="str">
        <f t="shared" si="39"/>
        <v/>
      </c>
      <c r="W207" s="29" t="str">
        <f t="shared" si="40"/>
        <v/>
      </c>
      <c r="X207" s="30" t="str">
        <f t="shared" si="41"/>
        <v/>
      </c>
      <c r="Y207" s="36"/>
      <c r="Z207" s="37"/>
      <c r="AA207" s="37"/>
      <c r="JG207" s="31" t="str">
        <f t="shared" si="42"/>
        <v/>
      </c>
      <c r="JH207" s="31" t="str">
        <f t="shared" si="43"/>
        <v/>
      </c>
    </row>
    <row r="208" spans="1:268" s="31" customFormat="1" x14ac:dyDescent="0.4">
      <c r="A208" s="32"/>
      <c r="B208" s="32"/>
      <c r="C208" s="32"/>
      <c r="D208" s="32"/>
      <c r="E208" s="38"/>
      <c r="F208" s="61"/>
      <c r="G208" s="33"/>
      <c r="H208" s="33"/>
      <c r="I208" s="27" t="str">
        <f t="shared" si="37"/>
        <v/>
      </c>
      <c r="J208" s="33"/>
      <c r="K208" s="28">
        <f t="shared" si="35"/>
        <v>0</v>
      </c>
      <c r="L208" s="28">
        <f>IF(AND($Y208&lt;&gt;"",$X208&lt;&gt;""),MAX(0,ROUND(($X208*$Y208),0)-NETWORKDAYS.INTL($V208,基準日,1)),0)</f>
        <v>0</v>
      </c>
      <c r="M208" s="28">
        <f t="shared" ca="1" si="36"/>
        <v>0</v>
      </c>
      <c r="N208" s="28">
        <f t="shared" ca="1" si="38"/>
        <v>0</v>
      </c>
      <c r="O208" s="34"/>
      <c r="P208" s="34"/>
      <c r="Q208" s="71" t="str" cm="1">
        <f t="array" ref="Q208">IF(SUMPRODUCT(--(B208:E208&lt;&gt;""))&gt;0,"○","")</f>
        <v/>
      </c>
      <c r="R208" s="35"/>
      <c r="S208" s="35"/>
      <c r="T208" s="35"/>
      <c r="U208" s="66"/>
      <c r="V208" s="29" t="str">
        <f t="shared" si="39"/>
        <v/>
      </c>
      <c r="W208" s="29" t="str">
        <f t="shared" si="40"/>
        <v/>
      </c>
      <c r="X208" s="30" t="str">
        <f t="shared" si="41"/>
        <v/>
      </c>
      <c r="Y208" s="36"/>
      <c r="Z208" s="37"/>
      <c r="AA208" s="37"/>
      <c r="JG208" s="31" t="str">
        <f t="shared" si="42"/>
        <v/>
      </c>
      <c r="JH208" s="31" t="str">
        <f t="shared" si="43"/>
        <v/>
      </c>
    </row>
    <row r="209" spans="1:268" s="31" customFormat="1" x14ac:dyDescent="0.4">
      <c r="A209" s="32"/>
      <c r="B209" s="32"/>
      <c r="C209" s="32"/>
      <c r="D209" s="32"/>
      <c r="E209" s="38"/>
      <c r="F209" s="61"/>
      <c r="G209" s="33"/>
      <c r="H209" s="33"/>
      <c r="I209" s="27" t="str">
        <f t="shared" si="37"/>
        <v/>
      </c>
      <c r="J209" s="33"/>
      <c r="K209" s="28">
        <f t="shared" si="35"/>
        <v>0</v>
      </c>
      <c r="L209" s="28">
        <f>IF(AND($Y209&lt;&gt;"",$X209&lt;&gt;""),MAX(0,ROUND(($X209*$Y209),0)-NETWORKDAYS.INTL($V209,基準日,1)),0)</f>
        <v>0</v>
      </c>
      <c r="M209" s="28">
        <f t="shared" ca="1" si="36"/>
        <v>0</v>
      </c>
      <c r="N209" s="28">
        <f t="shared" ca="1" si="38"/>
        <v>0</v>
      </c>
      <c r="O209" s="34"/>
      <c r="P209" s="34"/>
      <c r="Q209" s="71" t="str" cm="1">
        <f t="array" ref="Q209">IF(SUMPRODUCT(--(B209:E209&lt;&gt;""))&gt;0,"○","")</f>
        <v/>
      </c>
      <c r="R209" s="35"/>
      <c r="S209" s="35"/>
      <c r="T209" s="35"/>
      <c r="U209" s="66"/>
      <c r="V209" s="29" t="str">
        <f t="shared" si="39"/>
        <v/>
      </c>
      <c r="W209" s="29" t="str">
        <f t="shared" si="40"/>
        <v/>
      </c>
      <c r="X209" s="30" t="str">
        <f t="shared" si="41"/>
        <v/>
      </c>
      <c r="Y209" s="36"/>
      <c r="Z209" s="37"/>
      <c r="AA209" s="37"/>
      <c r="JG209" s="31" t="str">
        <f t="shared" si="42"/>
        <v/>
      </c>
      <c r="JH209" s="31" t="str">
        <f t="shared" si="43"/>
        <v/>
      </c>
    </row>
    <row r="210" spans="1:268" s="31" customFormat="1" x14ac:dyDescent="0.4">
      <c r="A210" s="32"/>
      <c r="B210" s="32"/>
      <c r="C210" s="32"/>
      <c r="D210" s="32"/>
      <c r="E210" s="38"/>
      <c r="F210" s="61"/>
      <c r="G210" s="33"/>
      <c r="H210" s="33"/>
      <c r="I210" s="27" t="str">
        <f t="shared" si="37"/>
        <v/>
      </c>
      <c r="J210" s="33"/>
      <c r="K210" s="28">
        <f t="shared" si="35"/>
        <v>0</v>
      </c>
      <c r="L210" s="28">
        <f>IF(AND($Y210&lt;&gt;"",$X210&lt;&gt;""),MAX(0,ROUND(($X210*$Y210),0)-NETWORKDAYS.INTL($V210,基準日,1)),0)</f>
        <v>0</v>
      </c>
      <c r="M210" s="28">
        <f t="shared" ca="1" si="36"/>
        <v>0</v>
      </c>
      <c r="N210" s="28">
        <f t="shared" ca="1" si="38"/>
        <v>0</v>
      </c>
      <c r="O210" s="34"/>
      <c r="P210" s="34"/>
      <c r="Q210" s="71" t="str" cm="1">
        <f t="array" ref="Q210">IF(SUMPRODUCT(--(B210:E210&lt;&gt;""))&gt;0,"○","")</f>
        <v/>
      </c>
      <c r="R210" s="35"/>
      <c r="S210" s="35"/>
      <c r="T210" s="35"/>
      <c r="U210" s="66"/>
      <c r="V210" s="29" t="str">
        <f t="shared" si="39"/>
        <v/>
      </c>
      <c r="W210" s="29" t="str">
        <f t="shared" si="40"/>
        <v/>
      </c>
      <c r="X210" s="30" t="str">
        <f t="shared" si="41"/>
        <v/>
      </c>
      <c r="Y210" s="36"/>
      <c r="Z210" s="37"/>
      <c r="AA210" s="37"/>
      <c r="JG210" s="31" t="str">
        <f t="shared" si="42"/>
        <v/>
      </c>
      <c r="JH210" s="31" t="str">
        <f t="shared" si="43"/>
        <v/>
      </c>
    </row>
    <row r="211" spans="1:268" s="31" customFormat="1" x14ac:dyDescent="0.4">
      <c r="A211" s="32"/>
      <c r="B211" s="32"/>
      <c r="C211" s="32"/>
      <c r="D211" s="32"/>
      <c r="E211" s="38"/>
      <c r="F211" s="61"/>
      <c r="G211" s="33"/>
      <c r="H211" s="33"/>
      <c r="I211" s="27" t="str">
        <f t="shared" si="37"/>
        <v/>
      </c>
      <c r="J211" s="33"/>
      <c r="K211" s="28">
        <f t="shared" si="35"/>
        <v>0</v>
      </c>
      <c r="L211" s="28">
        <f>IF(AND($Y211&lt;&gt;"",$X211&lt;&gt;""),MAX(0,ROUND(($X211*$Y211),0)-NETWORKDAYS.INTL($V211,基準日,1)),0)</f>
        <v>0</v>
      </c>
      <c r="M211" s="28">
        <f t="shared" ca="1" si="36"/>
        <v>0</v>
      </c>
      <c r="N211" s="28">
        <f t="shared" ca="1" si="38"/>
        <v>0</v>
      </c>
      <c r="O211" s="34"/>
      <c r="P211" s="34"/>
      <c r="Q211" s="71" t="str" cm="1">
        <f t="array" ref="Q211">IF(SUMPRODUCT(--(B211:E211&lt;&gt;""))&gt;0,"○","")</f>
        <v/>
      </c>
      <c r="R211" s="35"/>
      <c r="S211" s="35"/>
      <c r="T211" s="35"/>
      <c r="U211" s="66"/>
      <c r="V211" s="29" t="str">
        <f t="shared" si="39"/>
        <v/>
      </c>
      <c r="W211" s="29" t="str">
        <f t="shared" si="40"/>
        <v/>
      </c>
      <c r="X211" s="30" t="str">
        <f t="shared" si="41"/>
        <v/>
      </c>
      <c r="Y211" s="36"/>
      <c r="Z211" s="37"/>
      <c r="AA211" s="37"/>
      <c r="JG211" s="31" t="str">
        <f t="shared" si="42"/>
        <v/>
      </c>
      <c r="JH211" s="31" t="str">
        <f t="shared" si="43"/>
        <v/>
      </c>
    </row>
    <row r="212" spans="1:268" s="31" customFormat="1" x14ac:dyDescent="0.4">
      <c r="A212" s="32"/>
      <c r="B212" s="32"/>
      <c r="C212" s="32"/>
      <c r="D212" s="32"/>
      <c r="E212" s="38"/>
      <c r="F212" s="61"/>
      <c r="G212" s="33"/>
      <c r="H212" s="33"/>
      <c r="I212" s="27" t="str">
        <f t="shared" si="37"/>
        <v/>
      </c>
      <c r="J212" s="33"/>
      <c r="K212" s="28">
        <f t="shared" si="35"/>
        <v>0</v>
      </c>
      <c r="L212" s="28">
        <f>IF(AND($Y212&lt;&gt;"",$X212&lt;&gt;""),MAX(0,ROUND(($X212*$Y212),0)-NETWORKDAYS.INTL($V212,基準日,1)),0)</f>
        <v>0</v>
      </c>
      <c r="M212" s="28">
        <f t="shared" ca="1" si="36"/>
        <v>0</v>
      </c>
      <c r="N212" s="28">
        <f t="shared" ca="1" si="38"/>
        <v>0</v>
      </c>
      <c r="O212" s="34"/>
      <c r="P212" s="34"/>
      <c r="Q212" s="71" t="str" cm="1">
        <f t="array" ref="Q212">IF(SUMPRODUCT(--(B212:E212&lt;&gt;""))&gt;0,"○","")</f>
        <v/>
      </c>
      <c r="R212" s="35"/>
      <c r="S212" s="35"/>
      <c r="T212" s="35"/>
      <c r="U212" s="66"/>
      <c r="V212" s="29" t="str">
        <f t="shared" si="39"/>
        <v/>
      </c>
      <c r="W212" s="29" t="str">
        <f t="shared" si="40"/>
        <v/>
      </c>
      <c r="X212" s="30" t="str">
        <f t="shared" si="41"/>
        <v/>
      </c>
      <c r="Y212" s="36"/>
      <c r="Z212" s="37"/>
      <c r="AA212" s="37"/>
      <c r="JG212" s="31" t="str">
        <f t="shared" si="42"/>
        <v/>
      </c>
      <c r="JH212" s="31" t="str">
        <f t="shared" si="43"/>
        <v/>
      </c>
    </row>
    <row r="213" spans="1:268" s="31" customFormat="1" x14ac:dyDescent="0.4">
      <c r="A213" s="32"/>
      <c r="B213" s="32"/>
      <c r="C213" s="32"/>
      <c r="D213" s="32"/>
      <c r="E213" s="38"/>
      <c r="F213" s="61"/>
      <c r="G213" s="33"/>
      <c r="H213" s="33"/>
      <c r="I213" s="27" t="str">
        <f t="shared" si="37"/>
        <v/>
      </c>
      <c r="J213" s="33"/>
      <c r="K213" s="28">
        <f t="shared" si="35"/>
        <v>0</v>
      </c>
      <c r="L213" s="28">
        <f>IF(AND($Y213&lt;&gt;"",$X213&lt;&gt;""),MAX(0,ROUND(($X213*$Y213),0)-NETWORKDAYS.INTL($V213,基準日,1)),0)</f>
        <v>0</v>
      </c>
      <c r="M213" s="28">
        <f t="shared" ca="1" si="36"/>
        <v>0</v>
      </c>
      <c r="N213" s="28">
        <f t="shared" ca="1" si="38"/>
        <v>0</v>
      </c>
      <c r="O213" s="34"/>
      <c r="P213" s="34"/>
      <c r="Q213" s="71" t="str" cm="1">
        <f t="array" ref="Q213">IF(SUMPRODUCT(--(B213:E213&lt;&gt;""))&gt;0,"○","")</f>
        <v/>
      </c>
      <c r="R213" s="35"/>
      <c r="S213" s="35"/>
      <c r="T213" s="35"/>
      <c r="U213" s="66"/>
      <c r="V213" s="29" t="str">
        <f t="shared" si="39"/>
        <v/>
      </c>
      <c r="W213" s="29" t="str">
        <f t="shared" si="40"/>
        <v/>
      </c>
      <c r="X213" s="30" t="str">
        <f t="shared" si="41"/>
        <v/>
      </c>
      <c r="Y213" s="36"/>
      <c r="Z213" s="37"/>
      <c r="AA213" s="37"/>
      <c r="JG213" s="31" t="str">
        <f t="shared" si="42"/>
        <v/>
      </c>
      <c r="JH213" s="31" t="str">
        <f t="shared" si="43"/>
        <v/>
      </c>
    </row>
    <row r="214" spans="1:268" s="31" customFormat="1" x14ac:dyDescent="0.4">
      <c r="A214" s="32"/>
      <c r="B214" s="32"/>
      <c r="C214" s="32"/>
      <c r="D214" s="32"/>
      <c r="E214" s="38"/>
      <c r="F214" s="61"/>
      <c r="G214" s="33"/>
      <c r="H214" s="33"/>
      <c r="I214" s="27" t="str">
        <f t="shared" si="37"/>
        <v/>
      </c>
      <c r="J214" s="33"/>
      <c r="K214" s="28">
        <f t="shared" si="35"/>
        <v>0</v>
      </c>
      <c r="L214" s="28">
        <f>IF(AND($Y214&lt;&gt;"",$X214&lt;&gt;""),MAX(0,ROUND(($X214*$Y214),0)-NETWORKDAYS.INTL($V214,基準日,1)),0)</f>
        <v>0</v>
      </c>
      <c r="M214" s="28">
        <f t="shared" ca="1" si="36"/>
        <v>0</v>
      </c>
      <c r="N214" s="28">
        <f t="shared" ca="1" si="38"/>
        <v>0</v>
      </c>
      <c r="O214" s="34"/>
      <c r="P214" s="34"/>
      <c r="Q214" s="71" t="str" cm="1">
        <f t="array" ref="Q214">IF(SUMPRODUCT(--(B214:E214&lt;&gt;""))&gt;0,"○","")</f>
        <v/>
      </c>
      <c r="R214" s="35"/>
      <c r="S214" s="35"/>
      <c r="T214" s="35"/>
      <c r="U214" s="66"/>
      <c r="V214" s="29" t="str">
        <f t="shared" si="39"/>
        <v/>
      </c>
      <c r="W214" s="29" t="str">
        <f t="shared" si="40"/>
        <v/>
      </c>
      <c r="X214" s="30" t="str">
        <f t="shared" si="41"/>
        <v/>
      </c>
      <c r="Y214" s="36"/>
      <c r="Z214" s="37"/>
      <c r="AA214" s="37"/>
      <c r="JG214" s="31" t="str">
        <f t="shared" si="42"/>
        <v/>
      </c>
      <c r="JH214" s="31" t="str">
        <f t="shared" si="43"/>
        <v/>
      </c>
    </row>
    <row r="215" spans="1:268" s="31" customFormat="1" x14ac:dyDescent="0.4">
      <c r="A215" s="32"/>
      <c r="B215" s="32"/>
      <c r="C215" s="32"/>
      <c r="D215" s="32"/>
      <c r="E215" s="38"/>
      <c r="F215" s="61"/>
      <c r="G215" s="33"/>
      <c r="H215" s="33"/>
      <c r="I215" s="27" t="str">
        <f t="shared" si="37"/>
        <v/>
      </c>
      <c r="J215" s="33"/>
      <c r="K215" s="28">
        <f t="shared" si="35"/>
        <v>0</v>
      </c>
      <c r="L215" s="28">
        <f>IF(AND($Y215&lt;&gt;"",$X215&lt;&gt;""),MAX(0,ROUND(($X215*$Y215),0)-NETWORKDAYS.INTL($V215,基準日,1)),0)</f>
        <v>0</v>
      </c>
      <c r="M215" s="28">
        <f t="shared" ca="1" si="36"/>
        <v>0</v>
      </c>
      <c r="N215" s="28">
        <f t="shared" ca="1" si="38"/>
        <v>0</v>
      </c>
      <c r="O215" s="34"/>
      <c r="P215" s="34"/>
      <c r="Q215" s="71" t="str" cm="1">
        <f t="array" ref="Q215">IF(SUMPRODUCT(--(B215:E215&lt;&gt;""))&gt;0,"○","")</f>
        <v/>
      </c>
      <c r="R215" s="35"/>
      <c r="S215" s="35"/>
      <c r="T215" s="35"/>
      <c r="U215" s="66"/>
      <c r="V215" s="29" t="str">
        <f t="shared" si="39"/>
        <v/>
      </c>
      <c r="W215" s="29" t="str">
        <f t="shared" si="40"/>
        <v/>
      </c>
      <c r="X215" s="30" t="str">
        <f t="shared" si="41"/>
        <v/>
      </c>
      <c r="Y215" s="36"/>
      <c r="Z215" s="37"/>
      <c r="AA215" s="37"/>
      <c r="JG215" s="31" t="str">
        <f t="shared" si="42"/>
        <v/>
      </c>
      <c r="JH215" s="31" t="str">
        <f t="shared" si="43"/>
        <v/>
      </c>
    </row>
    <row r="216" spans="1:268" s="31" customFormat="1" x14ac:dyDescent="0.4">
      <c r="A216" s="32"/>
      <c r="B216" s="32"/>
      <c r="C216" s="32"/>
      <c r="D216" s="32"/>
      <c r="E216" s="38"/>
      <c r="F216" s="61"/>
      <c r="G216" s="33"/>
      <c r="H216" s="33"/>
      <c r="I216" s="27" t="str">
        <f t="shared" si="37"/>
        <v/>
      </c>
      <c r="J216" s="33"/>
      <c r="K216" s="28">
        <f t="shared" si="35"/>
        <v>0</v>
      </c>
      <c r="L216" s="28">
        <f>IF(AND($Y216&lt;&gt;"",$X216&lt;&gt;""),MAX(0,ROUND(($X216*$Y216),0)-NETWORKDAYS.INTL($V216,基準日,1)),0)</f>
        <v>0</v>
      </c>
      <c r="M216" s="28">
        <f t="shared" ca="1" si="36"/>
        <v>0</v>
      </c>
      <c r="N216" s="28">
        <f t="shared" ca="1" si="38"/>
        <v>0</v>
      </c>
      <c r="O216" s="34"/>
      <c r="P216" s="34"/>
      <c r="Q216" s="71" t="str" cm="1">
        <f t="array" ref="Q216">IF(SUMPRODUCT(--(B216:E216&lt;&gt;""))&gt;0,"○","")</f>
        <v/>
      </c>
      <c r="R216" s="35"/>
      <c r="S216" s="35"/>
      <c r="T216" s="35"/>
      <c r="U216" s="66"/>
      <c r="V216" s="29" t="str">
        <f t="shared" si="39"/>
        <v/>
      </c>
      <c r="W216" s="29" t="str">
        <f t="shared" si="40"/>
        <v/>
      </c>
      <c r="X216" s="30" t="str">
        <f t="shared" si="41"/>
        <v/>
      </c>
      <c r="Y216" s="36"/>
      <c r="Z216" s="37"/>
      <c r="AA216" s="37"/>
      <c r="JG216" s="31" t="str">
        <f t="shared" si="42"/>
        <v/>
      </c>
      <c r="JH216" s="31" t="str">
        <f t="shared" si="43"/>
        <v/>
      </c>
    </row>
    <row r="217" spans="1:268" s="31" customFormat="1" x14ac:dyDescent="0.4">
      <c r="A217" s="32"/>
      <c r="B217" s="32"/>
      <c r="C217" s="32"/>
      <c r="D217" s="32"/>
      <c r="E217" s="38"/>
      <c r="F217" s="61"/>
      <c r="G217" s="33"/>
      <c r="H217" s="33"/>
      <c r="I217" s="27" t="str">
        <f t="shared" si="37"/>
        <v/>
      </c>
      <c r="J217" s="33"/>
      <c r="K217" s="28">
        <f t="shared" si="35"/>
        <v>0</v>
      </c>
      <c r="L217" s="28">
        <f>IF(AND($Y217&lt;&gt;"",$X217&lt;&gt;""),MAX(0,ROUND(($X217*$Y217),0)-NETWORKDAYS.INTL($V217,基準日,1)),0)</f>
        <v>0</v>
      </c>
      <c r="M217" s="28">
        <f t="shared" ca="1" si="36"/>
        <v>0</v>
      </c>
      <c r="N217" s="28">
        <f t="shared" ca="1" si="38"/>
        <v>0</v>
      </c>
      <c r="O217" s="34"/>
      <c r="P217" s="34"/>
      <c r="Q217" s="71" t="str" cm="1">
        <f t="array" ref="Q217">IF(SUMPRODUCT(--(B217:E217&lt;&gt;""))&gt;0,"○","")</f>
        <v/>
      </c>
      <c r="R217" s="35"/>
      <c r="S217" s="35"/>
      <c r="T217" s="35"/>
      <c r="U217" s="66"/>
      <c r="V217" s="29" t="str">
        <f t="shared" si="39"/>
        <v/>
      </c>
      <c r="W217" s="29" t="str">
        <f t="shared" si="40"/>
        <v/>
      </c>
      <c r="X217" s="30" t="str">
        <f t="shared" si="41"/>
        <v/>
      </c>
      <c r="Y217" s="36"/>
      <c r="Z217" s="37"/>
      <c r="AA217" s="37"/>
      <c r="JG217" s="31" t="str">
        <f t="shared" si="42"/>
        <v/>
      </c>
      <c r="JH217" s="31" t="str">
        <f t="shared" si="43"/>
        <v/>
      </c>
    </row>
    <row r="218" spans="1:268" s="31" customFormat="1" x14ac:dyDescent="0.4">
      <c r="A218" s="32"/>
      <c r="B218" s="32"/>
      <c r="C218" s="32"/>
      <c r="D218" s="32"/>
      <c r="E218" s="38"/>
      <c r="F218" s="61"/>
      <c r="G218" s="33"/>
      <c r="H218" s="33"/>
      <c r="I218" s="27" t="str">
        <f t="shared" si="37"/>
        <v/>
      </c>
      <c r="J218" s="33"/>
      <c r="K218" s="28">
        <f t="shared" si="35"/>
        <v>0</v>
      </c>
      <c r="L218" s="28">
        <f>IF(AND($Y218&lt;&gt;"",$X218&lt;&gt;""),MAX(0,ROUND(($X218*$Y218),0)-NETWORKDAYS.INTL($V218,基準日,1)),0)</f>
        <v>0</v>
      </c>
      <c r="M218" s="28">
        <f t="shared" ca="1" si="36"/>
        <v>0</v>
      </c>
      <c r="N218" s="28">
        <f t="shared" ca="1" si="38"/>
        <v>0</v>
      </c>
      <c r="O218" s="34"/>
      <c r="P218" s="34"/>
      <c r="Q218" s="71" t="str" cm="1">
        <f t="array" ref="Q218">IF(SUMPRODUCT(--(B218:E218&lt;&gt;""))&gt;0,"○","")</f>
        <v/>
      </c>
      <c r="R218" s="35"/>
      <c r="S218" s="35"/>
      <c r="T218" s="35"/>
      <c r="U218" s="66"/>
      <c r="V218" s="29" t="str">
        <f t="shared" si="39"/>
        <v/>
      </c>
      <c r="W218" s="29" t="str">
        <f t="shared" si="40"/>
        <v/>
      </c>
      <c r="X218" s="30" t="str">
        <f t="shared" si="41"/>
        <v/>
      </c>
      <c r="Y218" s="36"/>
      <c r="Z218" s="37"/>
      <c r="AA218" s="37"/>
      <c r="JG218" s="31" t="str">
        <f t="shared" si="42"/>
        <v/>
      </c>
      <c r="JH218" s="31" t="str">
        <f t="shared" si="43"/>
        <v/>
      </c>
    </row>
    <row r="219" spans="1:268" s="31" customFormat="1" x14ac:dyDescent="0.4">
      <c r="A219" s="32"/>
      <c r="B219" s="32"/>
      <c r="C219" s="32"/>
      <c r="D219" s="32"/>
      <c r="E219" s="38"/>
      <c r="F219" s="61"/>
      <c r="G219" s="33"/>
      <c r="H219" s="33"/>
      <c r="I219" s="27" t="str">
        <f t="shared" si="37"/>
        <v/>
      </c>
      <c r="J219" s="33"/>
      <c r="K219" s="28">
        <f t="shared" si="35"/>
        <v>0</v>
      </c>
      <c r="L219" s="28">
        <f>IF(AND($Y219&lt;&gt;"",$X219&lt;&gt;""),MAX(0,ROUND(($X219*$Y219),0)-NETWORKDAYS.INTL($V219,基準日,1)),0)</f>
        <v>0</v>
      </c>
      <c r="M219" s="28">
        <f t="shared" ca="1" si="36"/>
        <v>0</v>
      </c>
      <c r="N219" s="28">
        <f t="shared" ca="1" si="38"/>
        <v>0</v>
      </c>
      <c r="O219" s="34"/>
      <c r="P219" s="34"/>
      <c r="Q219" s="71" t="str" cm="1">
        <f t="array" ref="Q219">IF(SUMPRODUCT(--(B219:E219&lt;&gt;""))&gt;0,"○","")</f>
        <v/>
      </c>
      <c r="R219" s="35"/>
      <c r="S219" s="35"/>
      <c r="T219" s="35"/>
      <c r="U219" s="66"/>
      <c r="V219" s="29" t="str">
        <f t="shared" si="39"/>
        <v/>
      </c>
      <c r="W219" s="29" t="str">
        <f t="shared" si="40"/>
        <v/>
      </c>
      <c r="X219" s="30" t="str">
        <f t="shared" si="41"/>
        <v/>
      </c>
      <c r="Y219" s="36"/>
      <c r="Z219" s="37"/>
      <c r="AA219" s="37"/>
      <c r="JG219" s="31" t="str">
        <f t="shared" si="42"/>
        <v/>
      </c>
      <c r="JH219" s="31" t="str">
        <f t="shared" si="43"/>
        <v/>
      </c>
    </row>
    <row r="220" spans="1:268" s="31" customFormat="1" x14ac:dyDescent="0.4">
      <c r="A220" s="32"/>
      <c r="B220" s="32"/>
      <c r="C220" s="32"/>
      <c r="D220" s="32"/>
      <c r="E220" s="38"/>
      <c r="F220" s="61"/>
      <c r="G220" s="33"/>
      <c r="H220" s="33"/>
      <c r="I220" s="27" t="str">
        <f t="shared" si="37"/>
        <v/>
      </c>
      <c r="J220" s="33"/>
      <c r="K220" s="28">
        <f t="shared" si="35"/>
        <v>0</v>
      </c>
      <c r="L220" s="28">
        <f>IF(AND($Y220&lt;&gt;"",$X220&lt;&gt;""),MAX(0,ROUND(($X220*$Y220),0)-NETWORKDAYS.INTL($V220,基準日,1)),0)</f>
        <v>0</v>
      </c>
      <c r="M220" s="28">
        <f t="shared" ca="1" si="36"/>
        <v>0</v>
      </c>
      <c r="N220" s="28">
        <f t="shared" ca="1" si="38"/>
        <v>0</v>
      </c>
      <c r="O220" s="34"/>
      <c r="P220" s="34"/>
      <c r="Q220" s="71" t="str" cm="1">
        <f t="array" ref="Q220">IF(SUMPRODUCT(--(B220:E220&lt;&gt;""))&gt;0,"○","")</f>
        <v/>
      </c>
      <c r="R220" s="35"/>
      <c r="S220" s="35"/>
      <c r="T220" s="35"/>
      <c r="U220" s="66"/>
      <c r="V220" s="29" t="str">
        <f t="shared" si="39"/>
        <v/>
      </c>
      <c r="W220" s="29" t="str">
        <f t="shared" si="40"/>
        <v/>
      </c>
      <c r="X220" s="30" t="str">
        <f t="shared" si="41"/>
        <v/>
      </c>
      <c r="Y220" s="36"/>
      <c r="Z220" s="37"/>
      <c r="AA220" s="37"/>
      <c r="JG220" s="31" t="str">
        <f t="shared" si="42"/>
        <v/>
      </c>
      <c r="JH220" s="31" t="str">
        <f t="shared" si="43"/>
        <v/>
      </c>
    </row>
    <row r="221" spans="1:268" s="31" customFormat="1" x14ac:dyDescent="0.4">
      <c r="A221" s="32"/>
      <c r="B221" s="32"/>
      <c r="C221" s="32"/>
      <c r="D221" s="32"/>
      <c r="E221" s="38"/>
      <c r="F221" s="61"/>
      <c r="G221" s="33"/>
      <c r="H221" s="33"/>
      <c r="I221" s="27" t="str">
        <f t="shared" si="37"/>
        <v/>
      </c>
      <c r="J221" s="33"/>
      <c r="K221" s="28">
        <f t="shared" si="35"/>
        <v>0</v>
      </c>
      <c r="L221" s="28">
        <f>IF(AND($Y221&lt;&gt;"",$X221&lt;&gt;""),MAX(0,ROUND(($X221*$Y221),0)-NETWORKDAYS.INTL($V221,基準日,1)),0)</f>
        <v>0</v>
      </c>
      <c r="M221" s="28">
        <f t="shared" ca="1" si="36"/>
        <v>0</v>
      </c>
      <c r="N221" s="28">
        <f t="shared" ca="1" si="38"/>
        <v>0</v>
      </c>
      <c r="O221" s="34"/>
      <c r="P221" s="34"/>
      <c r="Q221" s="71" t="str" cm="1">
        <f t="array" ref="Q221">IF(SUMPRODUCT(--(B221:E221&lt;&gt;""))&gt;0,"○","")</f>
        <v/>
      </c>
      <c r="R221" s="35"/>
      <c r="S221" s="35"/>
      <c r="T221" s="35"/>
      <c r="U221" s="66"/>
      <c r="V221" s="29" t="str">
        <f t="shared" si="39"/>
        <v/>
      </c>
      <c r="W221" s="29" t="str">
        <f t="shared" si="40"/>
        <v/>
      </c>
      <c r="X221" s="30" t="str">
        <f t="shared" si="41"/>
        <v/>
      </c>
      <c r="Y221" s="36"/>
      <c r="Z221" s="37"/>
      <c r="AA221" s="37"/>
      <c r="JG221" s="31" t="str">
        <f t="shared" si="42"/>
        <v/>
      </c>
      <c r="JH221" s="31" t="str">
        <f t="shared" si="43"/>
        <v/>
      </c>
    </row>
    <row r="222" spans="1:268" s="31" customFormat="1" x14ac:dyDescent="0.4">
      <c r="A222" s="32"/>
      <c r="B222" s="32"/>
      <c r="C222" s="32"/>
      <c r="D222" s="32"/>
      <c r="E222" s="38"/>
      <c r="F222" s="61"/>
      <c r="G222" s="33"/>
      <c r="H222" s="33"/>
      <c r="I222" s="27" t="str">
        <f t="shared" si="37"/>
        <v/>
      </c>
      <c r="J222" s="33"/>
      <c r="K222" s="28">
        <f t="shared" si="35"/>
        <v>0</v>
      </c>
      <c r="L222" s="28">
        <f>IF(AND($Y222&lt;&gt;"",$X222&lt;&gt;""),MAX(0,ROUND(($X222*$Y222),0)-NETWORKDAYS.INTL($V222,基準日,1)),0)</f>
        <v>0</v>
      </c>
      <c r="M222" s="28">
        <f t="shared" ca="1" si="36"/>
        <v>0</v>
      </c>
      <c r="N222" s="28">
        <f t="shared" ca="1" si="38"/>
        <v>0</v>
      </c>
      <c r="O222" s="34"/>
      <c r="P222" s="34"/>
      <c r="Q222" s="71" t="str" cm="1">
        <f t="array" ref="Q222">IF(SUMPRODUCT(--(B222:E222&lt;&gt;""))&gt;0,"○","")</f>
        <v/>
      </c>
      <c r="R222" s="35"/>
      <c r="S222" s="35"/>
      <c r="T222" s="35"/>
      <c r="U222" s="66"/>
      <c r="V222" s="29" t="str">
        <f t="shared" si="39"/>
        <v/>
      </c>
      <c r="W222" s="29" t="str">
        <f t="shared" si="40"/>
        <v/>
      </c>
      <c r="X222" s="30" t="str">
        <f t="shared" si="41"/>
        <v/>
      </c>
      <c r="Y222" s="36"/>
      <c r="Z222" s="37"/>
      <c r="AA222" s="37"/>
      <c r="JG222" s="31" t="str">
        <f t="shared" si="42"/>
        <v/>
      </c>
      <c r="JH222" s="31" t="str">
        <f t="shared" si="43"/>
        <v/>
      </c>
    </row>
    <row r="223" spans="1:268" s="31" customFormat="1" x14ac:dyDescent="0.4">
      <c r="A223" s="32"/>
      <c r="B223" s="32"/>
      <c r="C223" s="32"/>
      <c r="D223" s="32"/>
      <c r="E223" s="38"/>
      <c r="F223" s="61"/>
      <c r="G223" s="33"/>
      <c r="H223" s="33"/>
      <c r="I223" s="27" t="str">
        <f t="shared" si="37"/>
        <v/>
      </c>
      <c r="J223" s="33"/>
      <c r="K223" s="28">
        <f t="shared" si="35"/>
        <v>0</v>
      </c>
      <c r="L223" s="28">
        <f>IF(AND($Y223&lt;&gt;"",$X223&lt;&gt;""),MAX(0,ROUND(($X223*$Y223),0)-NETWORKDAYS.INTL($V223,基準日,1)),0)</f>
        <v>0</v>
      </c>
      <c r="M223" s="28">
        <f t="shared" ca="1" si="36"/>
        <v>0</v>
      </c>
      <c r="N223" s="28">
        <f t="shared" ca="1" si="38"/>
        <v>0</v>
      </c>
      <c r="O223" s="34"/>
      <c r="P223" s="34"/>
      <c r="Q223" s="71" t="str" cm="1">
        <f t="array" ref="Q223">IF(SUMPRODUCT(--(B223:E223&lt;&gt;""))&gt;0,"○","")</f>
        <v/>
      </c>
      <c r="R223" s="35"/>
      <c r="S223" s="35"/>
      <c r="T223" s="35"/>
      <c r="U223" s="66"/>
      <c r="V223" s="29" t="str">
        <f t="shared" si="39"/>
        <v/>
      </c>
      <c r="W223" s="29" t="str">
        <f t="shared" si="40"/>
        <v/>
      </c>
      <c r="X223" s="30" t="str">
        <f t="shared" si="41"/>
        <v/>
      </c>
      <c r="Y223" s="36"/>
      <c r="Z223" s="37"/>
      <c r="AA223" s="37"/>
      <c r="JG223" s="31" t="str">
        <f t="shared" si="42"/>
        <v/>
      </c>
      <c r="JH223" s="31" t="str">
        <f t="shared" si="43"/>
        <v/>
      </c>
    </row>
    <row r="224" spans="1:268" s="31" customFormat="1" x14ac:dyDescent="0.4">
      <c r="A224" s="32"/>
      <c r="B224" s="32"/>
      <c r="C224" s="32"/>
      <c r="D224" s="32"/>
      <c r="E224" s="38"/>
      <c r="F224" s="61"/>
      <c r="G224" s="33"/>
      <c r="H224" s="33"/>
      <c r="I224" s="27" t="str">
        <f t="shared" si="37"/>
        <v/>
      </c>
      <c r="J224" s="33"/>
      <c r="K224" s="28">
        <f t="shared" si="35"/>
        <v>0</v>
      </c>
      <c r="L224" s="28">
        <f>IF(AND($Y224&lt;&gt;"",$X224&lt;&gt;""),MAX(0,ROUND(($X224*$Y224),0)-NETWORKDAYS.INTL($V224,基準日,1)),0)</f>
        <v>0</v>
      </c>
      <c r="M224" s="28">
        <f t="shared" ca="1" si="36"/>
        <v>0</v>
      </c>
      <c r="N224" s="28">
        <f t="shared" ca="1" si="38"/>
        <v>0</v>
      </c>
      <c r="O224" s="34"/>
      <c r="P224" s="34"/>
      <c r="Q224" s="71" t="str" cm="1">
        <f t="array" ref="Q224">IF(SUMPRODUCT(--(B224:E224&lt;&gt;""))&gt;0,"○","")</f>
        <v/>
      </c>
      <c r="R224" s="35"/>
      <c r="S224" s="35"/>
      <c r="T224" s="35"/>
      <c r="U224" s="66"/>
      <c r="V224" s="29" t="str">
        <f t="shared" si="39"/>
        <v/>
      </c>
      <c r="W224" s="29" t="str">
        <f t="shared" si="40"/>
        <v/>
      </c>
      <c r="X224" s="30" t="str">
        <f t="shared" si="41"/>
        <v/>
      </c>
      <c r="Y224" s="36"/>
      <c r="Z224" s="37"/>
      <c r="AA224" s="37"/>
      <c r="JG224" s="31" t="str">
        <f t="shared" si="42"/>
        <v/>
      </c>
      <c r="JH224" s="31" t="str">
        <f t="shared" si="43"/>
        <v/>
      </c>
    </row>
    <row r="225" spans="1:268" s="31" customFormat="1" x14ac:dyDescent="0.4">
      <c r="A225" s="32"/>
      <c r="B225" s="32"/>
      <c r="C225" s="32"/>
      <c r="D225" s="32"/>
      <c r="E225" s="38"/>
      <c r="F225" s="61"/>
      <c r="G225" s="33"/>
      <c r="H225" s="33"/>
      <c r="I225" s="27" t="str">
        <f t="shared" si="37"/>
        <v/>
      </c>
      <c r="J225" s="33"/>
      <c r="K225" s="28">
        <f t="shared" si="35"/>
        <v>0</v>
      </c>
      <c r="L225" s="28">
        <f>IF(AND($Y225&lt;&gt;"",$X225&lt;&gt;""),MAX(0,ROUND(($X225*$Y225),0)-NETWORKDAYS.INTL($V225,基準日,1)),0)</f>
        <v>0</v>
      </c>
      <c r="M225" s="28">
        <f t="shared" ca="1" si="36"/>
        <v>0</v>
      </c>
      <c r="N225" s="28">
        <f t="shared" ca="1" si="38"/>
        <v>0</v>
      </c>
      <c r="O225" s="34"/>
      <c r="P225" s="34"/>
      <c r="Q225" s="71" t="str" cm="1">
        <f t="array" ref="Q225">IF(SUMPRODUCT(--(B225:E225&lt;&gt;""))&gt;0,"○","")</f>
        <v/>
      </c>
      <c r="R225" s="35"/>
      <c r="S225" s="35"/>
      <c r="T225" s="35"/>
      <c r="U225" s="66"/>
      <c r="V225" s="29" t="str">
        <f t="shared" si="39"/>
        <v/>
      </c>
      <c r="W225" s="29" t="str">
        <f t="shared" si="40"/>
        <v/>
      </c>
      <c r="X225" s="30" t="str">
        <f t="shared" si="41"/>
        <v/>
      </c>
      <c r="Y225" s="36"/>
      <c r="Z225" s="37"/>
      <c r="AA225" s="37"/>
      <c r="JG225" s="31" t="str">
        <f t="shared" si="42"/>
        <v/>
      </c>
      <c r="JH225" s="31" t="str">
        <f t="shared" si="43"/>
        <v/>
      </c>
    </row>
    <row r="226" spans="1:268" s="31" customFormat="1" x14ac:dyDescent="0.4">
      <c r="A226" s="32"/>
      <c r="B226" s="32"/>
      <c r="C226" s="32"/>
      <c r="D226" s="32"/>
      <c r="E226" s="38"/>
      <c r="F226" s="61"/>
      <c r="G226" s="33"/>
      <c r="H226" s="33"/>
      <c r="I226" s="27" t="str">
        <f t="shared" si="37"/>
        <v/>
      </c>
      <c r="J226" s="33"/>
      <c r="K226" s="28">
        <f t="shared" si="35"/>
        <v>0</v>
      </c>
      <c r="L226" s="28">
        <f>IF(AND($Y226&lt;&gt;"",$X226&lt;&gt;""),MAX(0,ROUND(($X226*$Y226),0)-NETWORKDAYS.INTL($V226,基準日,1)),0)</f>
        <v>0</v>
      </c>
      <c r="M226" s="28">
        <f t="shared" ca="1" si="36"/>
        <v>0</v>
      </c>
      <c r="N226" s="28">
        <f t="shared" ca="1" si="38"/>
        <v>0</v>
      </c>
      <c r="O226" s="34"/>
      <c r="P226" s="34"/>
      <c r="Q226" s="71" t="str" cm="1">
        <f t="array" ref="Q226">IF(SUMPRODUCT(--(B226:E226&lt;&gt;""))&gt;0,"○","")</f>
        <v/>
      </c>
      <c r="R226" s="35"/>
      <c r="S226" s="35"/>
      <c r="T226" s="35"/>
      <c r="U226" s="66"/>
      <c r="V226" s="29" t="str">
        <f t="shared" si="39"/>
        <v/>
      </c>
      <c r="W226" s="29" t="str">
        <f t="shared" si="40"/>
        <v/>
      </c>
      <c r="X226" s="30" t="str">
        <f t="shared" si="41"/>
        <v/>
      </c>
      <c r="Y226" s="36"/>
      <c r="Z226" s="37"/>
      <c r="AA226" s="37"/>
      <c r="JG226" s="31" t="str">
        <f t="shared" si="42"/>
        <v/>
      </c>
      <c r="JH226" s="31" t="str">
        <f t="shared" si="43"/>
        <v/>
      </c>
    </row>
    <row r="227" spans="1:268" s="31" customFormat="1" x14ac:dyDescent="0.4">
      <c r="A227" s="32"/>
      <c r="B227" s="32"/>
      <c r="C227" s="32"/>
      <c r="D227" s="32"/>
      <c r="E227" s="38"/>
      <c r="F227" s="61"/>
      <c r="G227" s="33"/>
      <c r="H227" s="33"/>
      <c r="I227" s="27" t="str">
        <f t="shared" si="37"/>
        <v/>
      </c>
      <c r="J227" s="33"/>
      <c r="K227" s="28">
        <f t="shared" si="35"/>
        <v>0</v>
      </c>
      <c r="L227" s="28">
        <f>IF(AND($Y227&lt;&gt;"",$X227&lt;&gt;""),MAX(0,ROUND(($X227*$Y227),0)-NETWORKDAYS.INTL($V227,基準日,1)),0)</f>
        <v>0</v>
      </c>
      <c r="M227" s="28">
        <f t="shared" ca="1" si="36"/>
        <v>0</v>
      </c>
      <c r="N227" s="28">
        <f t="shared" ca="1" si="38"/>
        <v>0</v>
      </c>
      <c r="O227" s="34"/>
      <c r="P227" s="34"/>
      <c r="Q227" s="71" t="str" cm="1">
        <f t="array" ref="Q227">IF(SUMPRODUCT(--(B227:E227&lt;&gt;""))&gt;0,"○","")</f>
        <v/>
      </c>
      <c r="R227" s="35"/>
      <c r="S227" s="35"/>
      <c r="T227" s="35"/>
      <c r="U227" s="66"/>
      <c r="V227" s="29" t="str">
        <f t="shared" si="39"/>
        <v/>
      </c>
      <c r="W227" s="29" t="str">
        <f t="shared" si="40"/>
        <v/>
      </c>
      <c r="X227" s="30" t="str">
        <f t="shared" si="41"/>
        <v/>
      </c>
      <c r="Y227" s="36"/>
      <c r="Z227" s="37"/>
      <c r="AA227" s="37"/>
      <c r="JG227" s="31" t="str">
        <f t="shared" si="42"/>
        <v/>
      </c>
      <c r="JH227" s="31" t="str">
        <f t="shared" si="43"/>
        <v/>
      </c>
    </row>
    <row r="228" spans="1:268" s="31" customFormat="1" x14ac:dyDescent="0.4">
      <c r="A228" s="32"/>
      <c r="B228" s="32"/>
      <c r="C228" s="32"/>
      <c r="D228" s="32"/>
      <c r="E228" s="38"/>
      <c r="F228" s="61"/>
      <c r="G228" s="33"/>
      <c r="H228" s="33"/>
      <c r="I228" s="27" t="str">
        <f t="shared" si="37"/>
        <v/>
      </c>
      <c r="J228" s="33"/>
      <c r="K228" s="28">
        <f t="shared" si="35"/>
        <v>0</v>
      </c>
      <c r="L228" s="28">
        <f>IF(AND($Y228&lt;&gt;"",$X228&lt;&gt;""),MAX(0,ROUND(($X228*$Y228),0)-NETWORKDAYS.INTL($V228,基準日,1)),0)</f>
        <v>0</v>
      </c>
      <c r="M228" s="28">
        <f t="shared" ca="1" si="36"/>
        <v>0</v>
      </c>
      <c r="N228" s="28">
        <f t="shared" ca="1" si="38"/>
        <v>0</v>
      </c>
      <c r="O228" s="34"/>
      <c r="P228" s="34"/>
      <c r="Q228" s="71" t="str" cm="1">
        <f t="array" ref="Q228">IF(SUMPRODUCT(--(B228:E228&lt;&gt;""))&gt;0,"○","")</f>
        <v/>
      </c>
      <c r="R228" s="35"/>
      <c r="S228" s="35"/>
      <c r="T228" s="35"/>
      <c r="U228" s="66"/>
      <c r="V228" s="29" t="str">
        <f t="shared" si="39"/>
        <v/>
      </c>
      <c r="W228" s="29" t="str">
        <f t="shared" si="40"/>
        <v/>
      </c>
      <c r="X228" s="30" t="str">
        <f t="shared" si="41"/>
        <v/>
      </c>
      <c r="Y228" s="36"/>
      <c r="Z228" s="37"/>
      <c r="AA228" s="37"/>
      <c r="JG228" s="31" t="str">
        <f t="shared" si="42"/>
        <v/>
      </c>
      <c r="JH228" s="31" t="str">
        <f t="shared" si="43"/>
        <v/>
      </c>
    </row>
    <row r="229" spans="1:268" s="31" customFormat="1" x14ac:dyDescent="0.4">
      <c r="A229" s="32"/>
      <c r="B229" s="32"/>
      <c r="C229" s="32"/>
      <c r="D229" s="32"/>
      <c r="E229" s="38"/>
      <c r="F229" s="61"/>
      <c r="G229" s="33"/>
      <c r="H229" s="33"/>
      <c r="I229" s="27" t="str">
        <f t="shared" si="37"/>
        <v/>
      </c>
      <c r="J229" s="33"/>
      <c r="K229" s="28">
        <f t="shared" si="35"/>
        <v>0</v>
      </c>
      <c r="L229" s="28">
        <f>IF(AND($Y229&lt;&gt;"",$X229&lt;&gt;""),MAX(0,ROUND(($X229*$Y229),0)-NETWORKDAYS.INTL($V229,基準日,1)),0)</f>
        <v>0</v>
      </c>
      <c r="M229" s="28">
        <f t="shared" ca="1" si="36"/>
        <v>0</v>
      </c>
      <c r="N229" s="28">
        <f t="shared" ca="1" si="38"/>
        <v>0</v>
      </c>
      <c r="O229" s="34"/>
      <c r="P229" s="34"/>
      <c r="Q229" s="71" t="str" cm="1">
        <f t="array" ref="Q229">IF(SUMPRODUCT(--(B229:E229&lt;&gt;""))&gt;0,"○","")</f>
        <v/>
      </c>
      <c r="R229" s="35"/>
      <c r="S229" s="35"/>
      <c r="T229" s="35"/>
      <c r="U229" s="66"/>
      <c r="V229" s="29" t="str">
        <f t="shared" si="39"/>
        <v/>
      </c>
      <c r="W229" s="29" t="str">
        <f t="shared" si="40"/>
        <v/>
      </c>
      <c r="X229" s="30" t="str">
        <f t="shared" si="41"/>
        <v/>
      </c>
      <c r="Y229" s="36"/>
      <c r="Z229" s="37"/>
      <c r="AA229" s="37"/>
      <c r="JG229" s="31" t="str">
        <f t="shared" si="42"/>
        <v/>
      </c>
      <c r="JH229" s="31" t="str">
        <f t="shared" si="43"/>
        <v/>
      </c>
    </row>
    <row r="230" spans="1:268" s="31" customFormat="1" x14ac:dyDescent="0.4">
      <c r="A230" s="32"/>
      <c r="B230" s="32"/>
      <c r="C230" s="32"/>
      <c r="D230" s="32"/>
      <c r="E230" s="38"/>
      <c r="F230" s="61"/>
      <c r="G230" s="33"/>
      <c r="H230" s="33"/>
      <c r="I230" s="27" t="str">
        <f t="shared" si="37"/>
        <v/>
      </c>
      <c r="J230" s="33"/>
      <c r="K230" s="28">
        <f t="shared" si="35"/>
        <v>0</v>
      </c>
      <c r="L230" s="28">
        <f>IF(AND($Y230&lt;&gt;"",$X230&lt;&gt;""),MAX(0,ROUND(($X230*$Y230),0)-NETWORKDAYS.INTL($V230,基準日,1)),0)</f>
        <v>0</v>
      </c>
      <c r="M230" s="28">
        <f t="shared" ca="1" si="36"/>
        <v>0</v>
      </c>
      <c r="N230" s="28">
        <f t="shared" ca="1" si="38"/>
        <v>0</v>
      </c>
      <c r="O230" s="34"/>
      <c r="P230" s="34"/>
      <c r="Q230" s="71" t="str" cm="1">
        <f t="array" ref="Q230">IF(SUMPRODUCT(--(B230:E230&lt;&gt;""))&gt;0,"○","")</f>
        <v/>
      </c>
      <c r="R230" s="35"/>
      <c r="S230" s="35"/>
      <c r="T230" s="35"/>
      <c r="U230" s="66"/>
      <c r="V230" s="29" t="str">
        <f t="shared" si="39"/>
        <v/>
      </c>
      <c r="W230" s="29" t="str">
        <f t="shared" si="40"/>
        <v/>
      </c>
      <c r="X230" s="30" t="str">
        <f t="shared" si="41"/>
        <v/>
      </c>
      <c r="Y230" s="36"/>
      <c r="Z230" s="37"/>
      <c r="AA230" s="37"/>
      <c r="JG230" s="31" t="str">
        <f t="shared" si="42"/>
        <v/>
      </c>
      <c r="JH230" s="31" t="str">
        <f t="shared" si="43"/>
        <v/>
      </c>
    </row>
    <row r="231" spans="1:268" s="31" customFormat="1" x14ac:dyDescent="0.4">
      <c r="A231" s="32"/>
      <c r="B231" s="32"/>
      <c r="C231" s="32"/>
      <c r="D231" s="32"/>
      <c r="E231" s="38"/>
      <c r="F231" s="61"/>
      <c r="G231" s="33"/>
      <c r="H231" s="33"/>
      <c r="I231" s="27" t="str">
        <f t="shared" si="37"/>
        <v/>
      </c>
      <c r="J231" s="33"/>
      <c r="K231" s="28">
        <f t="shared" si="35"/>
        <v>0</v>
      </c>
      <c r="L231" s="28">
        <f>IF(AND($Y231&lt;&gt;"",$X231&lt;&gt;""),MAX(0,ROUND(($X231*$Y231),0)-NETWORKDAYS.INTL($V231,基準日,1)),0)</f>
        <v>0</v>
      </c>
      <c r="M231" s="28">
        <f t="shared" ca="1" si="36"/>
        <v>0</v>
      </c>
      <c r="N231" s="28">
        <f t="shared" ca="1" si="38"/>
        <v>0</v>
      </c>
      <c r="O231" s="34"/>
      <c r="P231" s="34"/>
      <c r="Q231" s="71" t="str" cm="1">
        <f t="array" ref="Q231">IF(SUMPRODUCT(--(B231:E231&lt;&gt;""))&gt;0,"○","")</f>
        <v/>
      </c>
      <c r="R231" s="35"/>
      <c r="S231" s="35"/>
      <c r="T231" s="35"/>
      <c r="U231" s="66"/>
      <c r="V231" s="29" t="str">
        <f t="shared" si="39"/>
        <v/>
      </c>
      <c r="W231" s="29" t="str">
        <f t="shared" si="40"/>
        <v/>
      </c>
      <c r="X231" s="30" t="str">
        <f t="shared" si="41"/>
        <v/>
      </c>
      <c r="Y231" s="36"/>
      <c r="Z231" s="37"/>
      <c r="AA231" s="37"/>
      <c r="JG231" s="31" t="str">
        <f t="shared" si="42"/>
        <v/>
      </c>
      <c r="JH231" s="31" t="str">
        <f t="shared" si="43"/>
        <v/>
      </c>
    </row>
    <row r="232" spans="1:268" s="31" customFormat="1" x14ac:dyDescent="0.4">
      <c r="A232" s="32"/>
      <c r="B232" s="32"/>
      <c r="C232" s="32"/>
      <c r="D232" s="32"/>
      <c r="E232" s="38"/>
      <c r="F232" s="61"/>
      <c r="G232" s="33"/>
      <c r="H232" s="33"/>
      <c r="I232" s="27" t="str">
        <f t="shared" si="37"/>
        <v/>
      </c>
      <c r="J232" s="33"/>
      <c r="K232" s="28">
        <f t="shared" si="35"/>
        <v>0</v>
      </c>
      <c r="L232" s="28">
        <f>IF(AND($Y232&lt;&gt;"",$X232&lt;&gt;""),MAX(0,ROUND(($X232*$Y232),0)-NETWORKDAYS.INTL($V232,基準日,1)),0)</f>
        <v>0</v>
      </c>
      <c r="M232" s="28">
        <f t="shared" ca="1" si="36"/>
        <v>0</v>
      </c>
      <c r="N232" s="28">
        <f t="shared" ca="1" si="38"/>
        <v>0</v>
      </c>
      <c r="O232" s="34"/>
      <c r="P232" s="34"/>
      <c r="Q232" s="71" t="str" cm="1">
        <f t="array" ref="Q232">IF(SUMPRODUCT(--(B232:E232&lt;&gt;""))&gt;0,"○","")</f>
        <v/>
      </c>
      <c r="R232" s="35"/>
      <c r="S232" s="35"/>
      <c r="T232" s="35"/>
      <c r="U232" s="66"/>
      <c r="V232" s="29" t="str">
        <f t="shared" si="39"/>
        <v/>
      </c>
      <c r="W232" s="29" t="str">
        <f t="shared" si="40"/>
        <v/>
      </c>
      <c r="X232" s="30" t="str">
        <f t="shared" si="41"/>
        <v/>
      </c>
      <c r="Y232" s="36"/>
      <c r="Z232" s="37"/>
      <c r="AA232" s="37"/>
      <c r="JG232" s="31" t="str">
        <f t="shared" si="42"/>
        <v/>
      </c>
      <c r="JH232" s="31" t="str">
        <f t="shared" si="43"/>
        <v/>
      </c>
    </row>
    <row r="233" spans="1:268" s="31" customFormat="1" x14ac:dyDescent="0.4">
      <c r="A233" s="32"/>
      <c r="B233" s="32"/>
      <c r="C233" s="32"/>
      <c r="D233" s="32"/>
      <c r="E233" s="38"/>
      <c r="F233" s="61"/>
      <c r="G233" s="33"/>
      <c r="H233" s="33"/>
      <c r="I233" s="27" t="str">
        <f t="shared" si="37"/>
        <v/>
      </c>
      <c r="J233" s="33"/>
      <c r="K233" s="28">
        <f t="shared" si="35"/>
        <v>0</v>
      </c>
      <c r="L233" s="28">
        <f>IF(AND($Y233&lt;&gt;"",$X233&lt;&gt;""),MAX(0,ROUND(($X233*$Y233),0)-NETWORKDAYS.INTL($V233,基準日,1)),0)</f>
        <v>0</v>
      </c>
      <c r="M233" s="28">
        <f t="shared" ca="1" si="36"/>
        <v>0</v>
      </c>
      <c r="N233" s="28">
        <f t="shared" ca="1" si="38"/>
        <v>0</v>
      </c>
      <c r="O233" s="34"/>
      <c r="P233" s="34"/>
      <c r="Q233" s="71" t="str" cm="1">
        <f t="array" ref="Q233">IF(SUMPRODUCT(--(B233:E233&lt;&gt;""))&gt;0,"○","")</f>
        <v/>
      </c>
      <c r="R233" s="35"/>
      <c r="S233" s="35"/>
      <c r="T233" s="35"/>
      <c r="U233" s="66"/>
      <c r="V233" s="29" t="str">
        <f t="shared" si="39"/>
        <v/>
      </c>
      <c r="W233" s="29" t="str">
        <f t="shared" si="40"/>
        <v/>
      </c>
      <c r="X233" s="30" t="str">
        <f t="shared" si="41"/>
        <v/>
      </c>
      <c r="Y233" s="36"/>
      <c r="Z233" s="37"/>
      <c r="AA233" s="37"/>
      <c r="JG233" s="31" t="str">
        <f t="shared" si="42"/>
        <v/>
      </c>
      <c r="JH233" s="31" t="str">
        <f t="shared" si="43"/>
        <v/>
      </c>
    </row>
    <row r="234" spans="1:268" s="31" customFormat="1" x14ac:dyDescent="0.4">
      <c r="A234" s="32"/>
      <c r="B234" s="32"/>
      <c r="C234" s="32"/>
      <c r="D234" s="32"/>
      <c r="E234" s="38"/>
      <c r="F234" s="61"/>
      <c r="G234" s="33"/>
      <c r="H234" s="33"/>
      <c r="I234" s="27" t="str">
        <f t="shared" si="37"/>
        <v/>
      </c>
      <c r="J234" s="33"/>
      <c r="K234" s="28">
        <f t="shared" si="35"/>
        <v>0</v>
      </c>
      <c r="L234" s="28">
        <f>IF(AND($Y234&lt;&gt;"",$X234&lt;&gt;""),MAX(0,ROUND(($X234*$Y234),0)-NETWORKDAYS.INTL($V234,基準日,1)),0)</f>
        <v>0</v>
      </c>
      <c r="M234" s="28">
        <f t="shared" ca="1" si="36"/>
        <v>0</v>
      </c>
      <c r="N234" s="28">
        <f t="shared" ca="1" si="38"/>
        <v>0</v>
      </c>
      <c r="O234" s="34"/>
      <c r="P234" s="34"/>
      <c r="Q234" s="71" t="str" cm="1">
        <f t="array" ref="Q234">IF(SUMPRODUCT(--(B234:E234&lt;&gt;""))&gt;0,"○","")</f>
        <v/>
      </c>
      <c r="R234" s="35"/>
      <c r="S234" s="35"/>
      <c r="T234" s="35"/>
      <c r="U234" s="66"/>
      <c r="V234" s="29" t="str">
        <f t="shared" si="39"/>
        <v/>
      </c>
      <c r="W234" s="29" t="str">
        <f t="shared" si="40"/>
        <v/>
      </c>
      <c r="X234" s="30" t="str">
        <f t="shared" si="41"/>
        <v/>
      </c>
      <c r="Y234" s="36"/>
      <c r="Z234" s="37"/>
      <c r="AA234" s="37"/>
      <c r="JG234" s="31" t="str">
        <f t="shared" si="42"/>
        <v/>
      </c>
      <c r="JH234" s="31" t="str">
        <f t="shared" si="43"/>
        <v/>
      </c>
    </row>
    <row r="235" spans="1:268" s="31" customFormat="1" x14ac:dyDescent="0.4">
      <c r="A235" s="32"/>
      <c r="B235" s="32"/>
      <c r="C235" s="32"/>
      <c r="D235" s="32"/>
      <c r="E235" s="38"/>
      <c r="F235" s="61"/>
      <c r="G235" s="33"/>
      <c r="H235" s="33"/>
      <c r="I235" s="27" t="str">
        <f t="shared" si="37"/>
        <v/>
      </c>
      <c r="J235" s="33"/>
      <c r="K235" s="28">
        <f t="shared" si="35"/>
        <v>0</v>
      </c>
      <c r="L235" s="28">
        <f>IF(AND($Y235&lt;&gt;"",$X235&lt;&gt;""),MAX(0,ROUND(($X235*$Y235),0)-NETWORKDAYS.INTL($V235,基準日,1)),0)</f>
        <v>0</v>
      </c>
      <c r="M235" s="28">
        <f t="shared" ca="1" si="36"/>
        <v>0</v>
      </c>
      <c r="N235" s="28">
        <f t="shared" ca="1" si="38"/>
        <v>0</v>
      </c>
      <c r="O235" s="34"/>
      <c r="P235" s="34"/>
      <c r="Q235" s="71" t="str" cm="1">
        <f t="array" ref="Q235">IF(SUMPRODUCT(--(B235:E235&lt;&gt;""))&gt;0,"○","")</f>
        <v/>
      </c>
      <c r="R235" s="35"/>
      <c r="S235" s="35"/>
      <c r="T235" s="35"/>
      <c r="U235" s="66"/>
      <c r="V235" s="29" t="str">
        <f t="shared" si="39"/>
        <v/>
      </c>
      <c r="W235" s="29" t="str">
        <f t="shared" si="40"/>
        <v/>
      </c>
      <c r="X235" s="30" t="str">
        <f t="shared" si="41"/>
        <v/>
      </c>
      <c r="Y235" s="36"/>
      <c r="Z235" s="37"/>
      <c r="AA235" s="37"/>
      <c r="JG235" s="31" t="str">
        <f t="shared" si="42"/>
        <v/>
      </c>
      <c r="JH235" s="31" t="str">
        <f t="shared" si="43"/>
        <v/>
      </c>
    </row>
    <row r="236" spans="1:268" s="31" customFormat="1" x14ac:dyDescent="0.4">
      <c r="A236" s="32"/>
      <c r="B236" s="32"/>
      <c r="C236" s="32"/>
      <c r="D236" s="32"/>
      <c r="E236" s="38"/>
      <c r="F236" s="61"/>
      <c r="G236" s="33"/>
      <c r="H236" s="33"/>
      <c r="I236" s="27" t="str">
        <f t="shared" si="37"/>
        <v/>
      </c>
      <c r="J236" s="33"/>
      <c r="K236" s="28">
        <f t="shared" si="35"/>
        <v>0</v>
      </c>
      <c r="L236" s="28">
        <f>IF(AND($Y236&lt;&gt;"",$X236&lt;&gt;""),MAX(0,ROUND(($X236*$Y236),0)-NETWORKDAYS.INTL($V236,基準日,1)),0)</f>
        <v>0</v>
      </c>
      <c r="M236" s="28">
        <f t="shared" ca="1" si="36"/>
        <v>0</v>
      </c>
      <c r="N236" s="28">
        <f t="shared" ca="1" si="38"/>
        <v>0</v>
      </c>
      <c r="O236" s="34"/>
      <c r="P236" s="34"/>
      <c r="Q236" s="71" t="str" cm="1">
        <f t="array" ref="Q236">IF(SUMPRODUCT(--(B236:E236&lt;&gt;""))&gt;0,"○","")</f>
        <v/>
      </c>
      <c r="R236" s="35"/>
      <c r="S236" s="35"/>
      <c r="T236" s="35"/>
      <c r="U236" s="66"/>
      <c r="V236" s="29" t="str">
        <f t="shared" si="39"/>
        <v/>
      </c>
      <c r="W236" s="29" t="str">
        <f t="shared" si="40"/>
        <v/>
      </c>
      <c r="X236" s="30" t="str">
        <f t="shared" si="41"/>
        <v/>
      </c>
      <c r="Y236" s="36"/>
      <c r="Z236" s="37"/>
      <c r="AA236" s="37"/>
      <c r="JG236" s="31" t="str">
        <f t="shared" si="42"/>
        <v/>
      </c>
      <c r="JH236" s="31" t="str">
        <f t="shared" si="43"/>
        <v/>
      </c>
    </row>
    <row r="237" spans="1:268" s="31" customFormat="1" x14ac:dyDescent="0.4">
      <c r="A237" s="32"/>
      <c r="B237" s="32"/>
      <c r="C237" s="32"/>
      <c r="D237" s="32"/>
      <c r="E237" s="38"/>
      <c r="F237" s="61"/>
      <c r="G237" s="33"/>
      <c r="H237" s="33"/>
      <c r="I237" s="27" t="str">
        <f t="shared" si="37"/>
        <v/>
      </c>
      <c r="J237" s="33"/>
      <c r="K237" s="28">
        <f t="shared" si="35"/>
        <v>0</v>
      </c>
      <c r="L237" s="28">
        <f>IF(AND($Y237&lt;&gt;"",$X237&lt;&gt;""),MAX(0,ROUND(($X237*$Y237),0)-NETWORKDAYS.INTL($V237,基準日,1)),0)</f>
        <v>0</v>
      </c>
      <c r="M237" s="28">
        <f t="shared" ca="1" si="36"/>
        <v>0</v>
      </c>
      <c r="N237" s="28">
        <f t="shared" ca="1" si="38"/>
        <v>0</v>
      </c>
      <c r="O237" s="34"/>
      <c r="P237" s="34"/>
      <c r="Q237" s="71" t="str" cm="1">
        <f t="array" ref="Q237">IF(SUMPRODUCT(--(B237:E237&lt;&gt;""))&gt;0,"○","")</f>
        <v/>
      </c>
      <c r="R237" s="35"/>
      <c r="S237" s="35"/>
      <c r="T237" s="35"/>
      <c r="U237" s="66"/>
      <c r="V237" s="29" t="str">
        <f t="shared" si="39"/>
        <v/>
      </c>
      <c r="W237" s="29" t="str">
        <f t="shared" si="40"/>
        <v/>
      </c>
      <c r="X237" s="30" t="str">
        <f t="shared" si="41"/>
        <v/>
      </c>
      <c r="Y237" s="36"/>
      <c r="Z237" s="37"/>
      <c r="AA237" s="37"/>
      <c r="JG237" s="31" t="str">
        <f t="shared" si="42"/>
        <v/>
      </c>
      <c r="JH237" s="31" t="str">
        <f t="shared" si="43"/>
        <v/>
      </c>
    </row>
    <row r="238" spans="1:268" s="31" customFormat="1" x14ac:dyDescent="0.4">
      <c r="A238" s="32"/>
      <c r="B238" s="32"/>
      <c r="C238" s="32"/>
      <c r="D238" s="32"/>
      <c r="E238" s="38"/>
      <c r="F238" s="61"/>
      <c r="G238" s="33"/>
      <c r="H238" s="33"/>
      <c r="I238" s="27" t="str">
        <f t="shared" si="37"/>
        <v/>
      </c>
      <c r="J238" s="33"/>
      <c r="K238" s="28">
        <f t="shared" si="35"/>
        <v>0</v>
      </c>
      <c r="L238" s="28">
        <f>IF(AND($Y238&lt;&gt;"",$X238&lt;&gt;""),MAX(0,ROUND(($X238*$Y238),0)-NETWORKDAYS.INTL($V238,基準日,1)),0)</f>
        <v>0</v>
      </c>
      <c r="M238" s="28">
        <f t="shared" ca="1" si="36"/>
        <v>0</v>
      </c>
      <c r="N238" s="28">
        <f t="shared" ca="1" si="38"/>
        <v>0</v>
      </c>
      <c r="O238" s="34"/>
      <c r="P238" s="34"/>
      <c r="Q238" s="71" t="str" cm="1">
        <f t="array" ref="Q238">IF(SUMPRODUCT(--(B238:E238&lt;&gt;""))&gt;0,"○","")</f>
        <v/>
      </c>
      <c r="R238" s="35"/>
      <c r="S238" s="35"/>
      <c r="T238" s="35"/>
      <c r="U238" s="66"/>
      <c r="V238" s="29" t="str">
        <f t="shared" si="39"/>
        <v/>
      </c>
      <c r="W238" s="29" t="str">
        <f t="shared" si="40"/>
        <v/>
      </c>
      <c r="X238" s="30" t="str">
        <f t="shared" si="41"/>
        <v/>
      </c>
      <c r="Y238" s="36"/>
      <c r="Z238" s="37"/>
      <c r="AA238" s="37"/>
      <c r="JG238" s="31" t="str">
        <f t="shared" si="42"/>
        <v/>
      </c>
      <c r="JH238" s="31" t="str">
        <f t="shared" si="43"/>
        <v/>
      </c>
    </row>
    <row r="239" spans="1:268" s="31" customFormat="1" x14ac:dyDescent="0.4">
      <c r="A239" s="32"/>
      <c r="B239" s="32"/>
      <c r="C239" s="32"/>
      <c r="D239" s="32"/>
      <c r="E239" s="38"/>
      <c r="F239" s="61"/>
      <c r="G239" s="33"/>
      <c r="H239" s="33"/>
      <c r="I239" s="27" t="str">
        <f t="shared" si="37"/>
        <v/>
      </c>
      <c r="J239" s="33"/>
      <c r="K239" s="28">
        <f t="shared" si="35"/>
        <v>0</v>
      </c>
      <c r="L239" s="28">
        <f>IF(AND($Y239&lt;&gt;"",$X239&lt;&gt;""),MAX(0,ROUND(($X239*$Y239),0)-NETWORKDAYS.INTL($V239,基準日,1)),0)</f>
        <v>0</v>
      </c>
      <c r="M239" s="28">
        <f t="shared" ca="1" si="36"/>
        <v>0</v>
      </c>
      <c r="N239" s="28">
        <f t="shared" ca="1" si="38"/>
        <v>0</v>
      </c>
      <c r="O239" s="34"/>
      <c r="P239" s="34"/>
      <c r="Q239" s="71" t="str" cm="1">
        <f t="array" ref="Q239">IF(SUMPRODUCT(--(B239:E239&lt;&gt;""))&gt;0,"○","")</f>
        <v/>
      </c>
      <c r="R239" s="35"/>
      <c r="S239" s="35"/>
      <c r="T239" s="35"/>
      <c r="U239" s="66"/>
      <c r="V239" s="29" t="str">
        <f t="shared" si="39"/>
        <v/>
      </c>
      <c r="W239" s="29" t="str">
        <f t="shared" si="40"/>
        <v/>
      </c>
      <c r="X239" s="30" t="str">
        <f t="shared" si="41"/>
        <v/>
      </c>
      <c r="Y239" s="36"/>
      <c r="Z239" s="37"/>
      <c r="AA239" s="37"/>
      <c r="JG239" s="31" t="str">
        <f t="shared" si="42"/>
        <v/>
      </c>
      <c r="JH239" s="31" t="str">
        <f t="shared" si="43"/>
        <v/>
      </c>
    </row>
    <row r="240" spans="1:268" s="31" customFormat="1" x14ac:dyDescent="0.4">
      <c r="A240" s="32"/>
      <c r="B240" s="32"/>
      <c r="C240" s="32"/>
      <c r="D240" s="32"/>
      <c r="E240" s="38"/>
      <c r="F240" s="61"/>
      <c r="G240" s="33"/>
      <c r="H240" s="33"/>
      <c r="I240" s="27" t="str">
        <f t="shared" si="37"/>
        <v/>
      </c>
      <c r="J240" s="33"/>
      <c r="K240" s="28">
        <f t="shared" si="35"/>
        <v>0</v>
      </c>
      <c r="L240" s="28">
        <f>IF(AND($Y240&lt;&gt;"",$X240&lt;&gt;""),MAX(0,ROUND(($X240*$Y240),0)-NETWORKDAYS.INTL($V240,基準日,1)),0)</f>
        <v>0</v>
      </c>
      <c r="M240" s="28">
        <f t="shared" ca="1" si="36"/>
        <v>0</v>
      </c>
      <c r="N240" s="28">
        <f t="shared" ca="1" si="38"/>
        <v>0</v>
      </c>
      <c r="O240" s="34"/>
      <c r="P240" s="34"/>
      <c r="Q240" s="71" t="str" cm="1">
        <f t="array" ref="Q240">IF(SUMPRODUCT(--(B240:E240&lt;&gt;""))&gt;0,"○","")</f>
        <v/>
      </c>
      <c r="R240" s="35"/>
      <c r="S240" s="35"/>
      <c r="T240" s="35"/>
      <c r="U240" s="66"/>
      <c r="V240" s="29" t="str">
        <f t="shared" si="39"/>
        <v/>
      </c>
      <c r="W240" s="29" t="str">
        <f t="shared" si="40"/>
        <v/>
      </c>
      <c r="X240" s="30" t="str">
        <f t="shared" si="41"/>
        <v/>
      </c>
      <c r="Y240" s="36"/>
      <c r="Z240" s="37"/>
      <c r="AA240" s="37"/>
      <c r="JG240" s="31" t="str">
        <f t="shared" si="42"/>
        <v/>
      </c>
      <c r="JH240" s="31" t="str">
        <f t="shared" si="43"/>
        <v/>
      </c>
    </row>
    <row r="241" spans="1:268" s="31" customFormat="1" x14ac:dyDescent="0.4">
      <c r="A241" s="32"/>
      <c r="B241" s="32"/>
      <c r="C241" s="32"/>
      <c r="D241" s="32"/>
      <c r="E241" s="38"/>
      <c r="F241" s="61"/>
      <c r="G241" s="33"/>
      <c r="H241" s="33"/>
      <c r="I241" s="27" t="str">
        <f t="shared" si="37"/>
        <v/>
      </c>
      <c r="J241" s="33"/>
      <c r="K241" s="28">
        <f t="shared" si="35"/>
        <v>0</v>
      </c>
      <c r="L241" s="28">
        <f>IF(AND($Y241&lt;&gt;"",$X241&lt;&gt;""),MAX(0,ROUND(($X241*$Y241),0)-NETWORKDAYS.INTL($V241,基準日,1)),0)</f>
        <v>0</v>
      </c>
      <c r="M241" s="28">
        <f t="shared" ca="1" si="36"/>
        <v>0</v>
      </c>
      <c r="N241" s="28">
        <f t="shared" ca="1" si="38"/>
        <v>0</v>
      </c>
      <c r="O241" s="34"/>
      <c r="P241" s="34"/>
      <c r="Q241" s="71" t="str" cm="1">
        <f t="array" ref="Q241">IF(SUMPRODUCT(--(B241:E241&lt;&gt;""))&gt;0,"○","")</f>
        <v/>
      </c>
      <c r="R241" s="35"/>
      <c r="S241" s="35"/>
      <c r="T241" s="35"/>
      <c r="U241" s="66"/>
      <c r="V241" s="29" t="str">
        <f t="shared" si="39"/>
        <v/>
      </c>
      <c r="W241" s="29" t="str">
        <f t="shared" si="40"/>
        <v/>
      </c>
      <c r="X241" s="30" t="str">
        <f t="shared" si="41"/>
        <v/>
      </c>
      <c r="Y241" s="36"/>
      <c r="Z241" s="37"/>
      <c r="AA241" s="37"/>
      <c r="JG241" s="31" t="str">
        <f t="shared" si="42"/>
        <v/>
      </c>
      <c r="JH241" s="31" t="str">
        <f t="shared" si="43"/>
        <v/>
      </c>
    </row>
    <row r="242" spans="1:268" s="31" customFormat="1" x14ac:dyDescent="0.4">
      <c r="A242" s="32"/>
      <c r="B242" s="32"/>
      <c r="C242" s="32"/>
      <c r="D242" s="32"/>
      <c r="E242" s="38"/>
      <c r="F242" s="61"/>
      <c r="G242" s="33"/>
      <c r="H242" s="33"/>
      <c r="I242" s="27" t="str">
        <f t="shared" si="37"/>
        <v/>
      </c>
      <c r="J242" s="33"/>
      <c r="K242" s="28">
        <f t="shared" si="35"/>
        <v>0</v>
      </c>
      <c r="L242" s="28">
        <f>IF(AND($Y242&lt;&gt;"",$X242&lt;&gt;""),MAX(0,ROUND(($X242*$Y242),0)-NETWORKDAYS.INTL($V242,基準日,1)),0)</f>
        <v>0</v>
      </c>
      <c r="M242" s="28">
        <f t="shared" ca="1" si="36"/>
        <v>0</v>
      </c>
      <c r="N242" s="28">
        <f t="shared" ca="1" si="38"/>
        <v>0</v>
      </c>
      <c r="O242" s="34"/>
      <c r="P242" s="34"/>
      <c r="Q242" s="71" t="str" cm="1">
        <f t="array" ref="Q242">IF(SUMPRODUCT(--(B242:E242&lt;&gt;""))&gt;0,"○","")</f>
        <v/>
      </c>
      <c r="R242" s="35"/>
      <c r="S242" s="35"/>
      <c r="T242" s="35"/>
      <c r="U242" s="66"/>
      <c r="V242" s="29" t="str">
        <f t="shared" si="39"/>
        <v/>
      </c>
      <c r="W242" s="29" t="str">
        <f t="shared" si="40"/>
        <v/>
      </c>
      <c r="X242" s="30" t="str">
        <f t="shared" si="41"/>
        <v/>
      </c>
      <c r="Y242" s="36"/>
      <c r="Z242" s="37"/>
      <c r="AA242" s="37"/>
      <c r="JG242" s="31" t="str">
        <f t="shared" si="42"/>
        <v/>
      </c>
      <c r="JH242" s="31" t="str">
        <f t="shared" si="43"/>
        <v/>
      </c>
    </row>
    <row r="243" spans="1:268" s="31" customFormat="1" x14ac:dyDescent="0.4">
      <c r="A243" s="32"/>
      <c r="B243" s="32"/>
      <c r="C243" s="32"/>
      <c r="D243" s="32"/>
      <c r="E243" s="38"/>
      <c r="F243" s="61"/>
      <c r="G243" s="33"/>
      <c r="H243" s="33"/>
      <c r="I243" s="27" t="str">
        <f t="shared" si="37"/>
        <v/>
      </c>
      <c r="J243" s="33"/>
      <c r="K243" s="28">
        <f t="shared" si="35"/>
        <v>0</v>
      </c>
      <c r="L243" s="28">
        <f>IF(AND($Y243&lt;&gt;"",$X243&lt;&gt;""),MAX(0,ROUND(($X243*$Y243),0)-NETWORKDAYS.INTL($V243,基準日,1)),0)</f>
        <v>0</v>
      </c>
      <c r="M243" s="28">
        <f t="shared" ca="1" si="36"/>
        <v>0</v>
      </c>
      <c r="N243" s="28">
        <f t="shared" ca="1" si="38"/>
        <v>0</v>
      </c>
      <c r="O243" s="34"/>
      <c r="P243" s="34"/>
      <c r="Q243" s="71" t="str" cm="1">
        <f t="array" ref="Q243">IF(SUMPRODUCT(--(B243:E243&lt;&gt;""))&gt;0,"○","")</f>
        <v/>
      </c>
      <c r="R243" s="35"/>
      <c r="S243" s="35"/>
      <c r="T243" s="35"/>
      <c r="U243" s="66"/>
      <c r="V243" s="29" t="str">
        <f t="shared" si="39"/>
        <v/>
      </c>
      <c r="W243" s="29" t="str">
        <f t="shared" si="40"/>
        <v/>
      </c>
      <c r="X243" s="30" t="str">
        <f t="shared" si="41"/>
        <v/>
      </c>
      <c r="Y243" s="36"/>
      <c r="Z243" s="37"/>
      <c r="AA243" s="37"/>
      <c r="JG243" s="31" t="str">
        <f t="shared" si="42"/>
        <v/>
      </c>
      <c r="JH243" s="31" t="str">
        <f t="shared" si="43"/>
        <v/>
      </c>
    </row>
    <row r="244" spans="1:268" s="31" customFormat="1" x14ac:dyDescent="0.4">
      <c r="A244" s="32"/>
      <c r="B244" s="32"/>
      <c r="C244" s="32"/>
      <c r="D244" s="32"/>
      <c r="E244" s="38"/>
      <c r="F244" s="61"/>
      <c r="G244" s="33"/>
      <c r="H244" s="33"/>
      <c r="I244" s="27" t="str">
        <f t="shared" si="37"/>
        <v/>
      </c>
      <c r="J244" s="33"/>
      <c r="K244" s="28">
        <f t="shared" si="35"/>
        <v>0</v>
      </c>
      <c r="L244" s="28">
        <f>IF(AND($Y244&lt;&gt;"",$X244&lt;&gt;""),MAX(0,ROUND(($X244*$Y244),0)-NETWORKDAYS.INTL($V244,基準日,1)),0)</f>
        <v>0</v>
      </c>
      <c r="M244" s="28">
        <f t="shared" ca="1" si="36"/>
        <v>0</v>
      </c>
      <c r="N244" s="28">
        <f t="shared" ca="1" si="38"/>
        <v>0</v>
      </c>
      <c r="O244" s="34"/>
      <c r="P244" s="34"/>
      <c r="Q244" s="71" t="str" cm="1">
        <f t="array" ref="Q244">IF(SUMPRODUCT(--(B244:E244&lt;&gt;""))&gt;0,"○","")</f>
        <v/>
      </c>
      <c r="R244" s="35"/>
      <c r="S244" s="35"/>
      <c r="T244" s="35"/>
      <c r="U244" s="66"/>
      <c r="V244" s="29" t="str">
        <f t="shared" si="39"/>
        <v/>
      </c>
      <c r="W244" s="29" t="str">
        <f t="shared" si="40"/>
        <v/>
      </c>
      <c r="X244" s="30" t="str">
        <f t="shared" si="41"/>
        <v/>
      </c>
      <c r="Y244" s="36"/>
      <c r="Z244" s="37"/>
      <c r="AA244" s="37"/>
      <c r="JG244" s="31" t="str">
        <f t="shared" si="42"/>
        <v/>
      </c>
      <c r="JH244" s="31" t="str">
        <f t="shared" si="43"/>
        <v/>
      </c>
    </row>
    <row r="245" spans="1:268" s="31" customFormat="1" x14ac:dyDescent="0.4">
      <c r="A245" s="32"/>
      <c r="B245" s="32"/>
      <c r="C245" s="32"/>
      <c r="D245" s="32"/>
      <c r="E245" s="38"/>
      <c r="F245" s="61"/>
      <c r="G245" s="33"/>
      <c r="H245" s="33"/>
      <c r="I245" s="27" t="str">
        <f t="shared" si="37"/>
        <v/>
      </c>
      <c r="J245" s="33"/>
      <c r="K245" s="28">
        <f t="shared" si="35"/>
        <v>0</v>
      </c>
      <c r="L245" s="28">
        <f>IF(AND($Y245&lt;&gt;"",$X245&lt;&gt;""),MAX(0,ROUND(($X245*$Y245),0)-NETWORKDAYS.INTL($V245,基準日,1)),0)</f>
        <v>0</v>
      </c>
      <c r="M245" s="28">
        <f t="shared" ca="1" si="36"/>
        <v>0</v>
      </c>
      <c r="N245" s="28">
        <f t="shared" ca="1" si="38"/>
        <v>0</v>
      </c>
      <c r="O245" s="34"/>
      <c r="P245" s="34"/>
      <c r="Q245" s="71" t="str" cm="1">
        <f t="array" ref="Q245">IF(SUMPRODUCT(--(B245:E245&lt;&gt;""))&gt;0,"○","")</f>
        <v/>
      </c>
      <c r="R245" s="35"/>
      <c r="S245" s="35"/>
      <c r="T245" s="35"/>
      <c r="U245" s="66"/>
      <c r="V245" s="29" t="str">
        <f t="shared" si="39"/>
        <v/>
      </c>
      <c r="W245" s="29" t="str">
        <f t="shared" si="40"/>
        <v/>
      </c>
      <c r="X245" s="30" t="str">
        <f t="shared" si="41"/>
        <v/>
      </c>
      <c r="Y245" s="36"/>
      <c r="Z245" s="37"/>
      <c r="AA245" s="37"/>
      <c r="JG245" s="31" t="str">
        <f t="shared" si="42"/>
        <v/>
      </c>
      <c r="JH245" s="31" t="str">
        <f t="shared" si="43"/>
        <v/>
      </c>
    </row>
    <row r="246" spans="1:268" s="31" customFormat="1" x14ac:dyDescent="0.4">
      <c r="A246" s="32"/>
      <c r="B246" s="32"/>
      <c r="C246" s="32"/>
      <c r="D246" s="32"/>
      <c r="E246" s="38"/>
      <c r="F246" s="61"/>
      <c r="G246" s="33"/>
      <c r="H246" s="33"/>
      <c r="I246" s="27" t="str">
        <f t="shared" si="37"/>
        <v/>
      </c>
      <c r="J246" s="33"/>
      <c r="K246" s="28">
        <f t="shared" si="35"/>
        <v>0</v>
      </c>
      <c r="L246" s="28">
        <f>IF(AND($Y246&lt;&gt;"",$X246&lt;&gt;""),MAX(0,ROUND(($X246*$Y246),0)-NETWORKDAYS.INTL($V246,基準日,1)),0)</f>
        <v>0</v>
      </c>
      <c r="M246" s="28">
        <f t="shared" ca="1" si="36"/>
        <v>0</v>
      </c>
      <c r="N246" s="28">
        <f t="shared" ca="1" si="38"/>
        <v>0</v>
      </c>
      <c r="O246" s="34"/>
      <c r="P246" s="34"/>
      <c r="Q246" s="71" t="str" cm="1">
        <f t="array" ref="Q246">IF(SUMPRODUCT(--(B246:E246&lt;&gt;""))&gt;0,"○","")</f>
        <v/>
      </c>
      <c r="R246" s="35"/>
      <c r="S246" s="35"/>
      <c r="T246" s="35"/>
      <c r="U246" s="66"/>
      <c r="V246" s="29" t="str">
        <f t="shared" si="39"/>
        <v/>
      </c>
      <c r="W246" s="29" t="str">
        <f t="shared" si="40"/>
        <v/>
      </c>
      <c r="X246" s="30" t="str">
        <f t="shared" si="41"/>
        <v/>
      </c>
      <c r="Y246" s="36"/>
      <c r="Z246" s="37"/>
      <c r="AA246" s="37"/>
      <c r="JG246" s="31" t="str">
        <f t="shared" si="42"/>
        <v/>
      </c>
      <c r="JH246" s="31" t="str">
        <f t="shared" si="43"/>
        <v/>
      </c>
    </row>
    <row r="247" spans="1:268" s="31" customFormat="1" x14ac:dyDescent="0.4">
      <c r="A247" s="32"/>
      <c r="B247" s="32"/>
      <c r="C247" s="32"/>
      <c r="D247" s="32"/>
      <c r="E247" s="38"/>
      <c r="F247" s="61"/>
      <c r="G247" s="33"/>
      <c r="H247" s="33"/>
      <c r="I247" s="27" t="str">
        <f t="shared" si="37"/>
        <v/>
      </c>
      <c r="J247" s="33"/>
      <c r="K247" s="28">
        <f t="shared" si="35"/>
        <v>0</v>
      </c>
      <c r="L247" s="28">
        <f>IF(AND($Y247&lt;&gt;"",$X247&lt;&gt;""),MAX(0,ROUND(($X247*$Y247),0)-NETWORKDAYS.INTL($V247,基準日,1)),0)</f>
        <v>0</v>
      </c>
      <c r="M247" s="28">
        <f t="shared" ca="1" si="36"/>
        <v>0</v>
      </c>
      <c r="N247" s="28">
        <f t="shared" ca="1" si="38"/>
        <v>0</v>
      </c>
      <c r="O247" s="34"/>
      <c r="P247" s="34"/>
      <c r="Q247" s="71" t="str" cm="1">
        <f t="array" ref="Q247">IF(SUMPRODUCT(--(B247:E247&lt;&gt;""))&gt;0,"○","")</f>
        <v/>
      </c>
      <c r="R247" s="35"/>
      <c r="S247" s="35"/>
      <c r="T247" s="35"/>
      <c r="U247" s="66"/>
      <c r="V247" s="29" t="str">
        <f t="shared" si="39"/>
        <v/>
      </c>
      <c r="W247" s="29" t="str">
        <f t="shared" si="40"/>
        <v/>
      </c>
      <c r="X247" s="30" t="str">
        <f t="shared" si="41"/>
        <v/>
      </c>
      <c r="Y247" s="36"/>
      <c r="Z247" s="37"/>
      <c r="AA247" s="37"/>
      <c r="JG247" s="31" t="str">
        <f t="shared" si="42"/>
        <v/>
      </c>
      <c r="JH247" s="31" t="str">
        <f t="shared" si="43"/>
        <v/>
      </c>
    </row>
    <row r="248" spans="1:268" s="31" customFormat="1" x14ac:dyDescent="0.4">
      <c r="A248" s="32"/>
      <c r="B248" s="32"/>
      <c r="C248" s="32"/>
      <c r="D248" s="32"/>
      <c r="E248" s="38"/>
      <c r="F248" s="61"/>
      <c r="G248" s="33"/>
      <c r="H248" s="33"/>
      <c r="I248" s="27" t="str">
        <f t="shared" si="37"/>
        <v/>
      </c>
      <c r="J248" s="33"/>
      <c r="K248" s="28">
        <f t="shared" si="35"/>
        <v>0</v>
      </c>
      <c r="L248" s="28">
        <f>IF(AND($Y248&lt;&gt;"",$X248&lt;&gt;""),MAX(0,ROUND(($X248*$Y248),0)-NETWORKDAYS.INTL($V248,基準日,1)),0)</f>
        <v>0</v>
      </c>
      <c r="M248" s="28">
        <f t="shared" ca="1" si="36"/>
        <v>0</v>
      </c>
      <c r="N248" s="28">
        <f t="shared" ca="1" si="38"/>
        <v>0</v>
      </c>
      <c r="O248" s="34"/>
      <c r="P248" s="34"/>
      <c r="Q248" s="71" t="str" cm="1">
        <f t="array" ref="Q248">IF(SUMPRODUCT(--(B248:E248&lt;&gt;""))&gt;0,"○","")</f>
        <v/>
      </c>
      <c r="R248" s="35"/>
      <c r="S248" s="35"/>
      <c r="T248" s="35"/>
      <c r="U248" s="66"/>
      <c r="V248" s="29" t="str">
        <f t="shared" si="39"/>
        <v/>
      </c>
      <c r="W248" s="29" t="str">
        <f t="shared" si="40"/>
        <v/>
      </c>
      <c r="X248" s="30" t="str">
        <f t="shared" si="41"/>
        <v/>
      </c>
      <c r="Y248" s="36"/>
      <c r="Z248" s="37"/>
      <c r="AA248" s="37"/>
      <c r="JG248" s="31" t="str">
        <f t="shared" si="42"/>
        <v/>
      </c>
      <c r="JH248" s="31" t="str">
        <f t="shared" si="43"/>
        <v/>
      </c>
    </row>
    <row r="249" spans="1:268" s="31" customFormat="1" x14ac:dyDescent="0.4">
      <c r="A249" s="32"/>
      <c r="B249" s="32"/>
      <c r="C249" s="32"/>
      <c r="D249" s="32"/>
      <c r="E249" s="38"/>
      <c r="F249" s="61"/>
      <c r="G249" s="33"/>
      <c r="H249" s="33"/>
      <c r="I249" s="27" t="str">
        <f t="shared" si="37"/>
        <v/>
      </c>
      <c r="J249" s="33"/>
      <c r="K249" s="28">
        <f t="shared" si="35"/>
        <v>0</v>
      </c>
      <c r="L249" s="28">
        <f>IF(AND($Y249&lt;&gt;"",$X249&lt;&gt;""),MAX(0,ROUND(($X249*$Y249),0)-NETWORKDAYS.INTL($V249,基準日,1)),0)</f>
        <v>0</v>
      </c>
      <c r="M249" s="28">
        <f t="shared" ca="1" si="36"/>
        <v>0</v>
      </c>
      <c r="N249" s="28">
        <f t="shared" ca="1" si="38"/>
        <v>0</v>
      </c>
      <c r="O249" s="34"/>
      <c r="P249" s="34"/>
      <c r="Q249" s="71" t="str" cm="1">
        <f t="array" ref="Q249">IF(SUMPRODUCT(--(B249:E249&lt;&gt;""))&gt;0,"○","")</f>
        <v/>
      </c>
      <c r="R249" s="35"/>
      <c r="S249" s="35"/>
      <c r="T249" s="35"/>
      <c r="U249" s="66"/>
      <c r="V249" s="29" t="str">
        <f t="shared" si="39"/>
        <v/>
      </c>
      <c r="W249" s="29" t="str">
        <f t="shared" si="40"/>
        <v/>
      </c>
      <c r="X249" s="30" t="str">
        <f t="shared" si="41"/>
        <v/>
      </c>
      <c r="Y249" s="36"/>
      <c r="Z249" s="37"/>
      <c r="AA249" s="37"/>
      <c r="JG249" s="31" t="str">
        <f t="shared" si="42"/>
        <v/>
      </c>
      <c r="JH249" s="31" t="str">
        <f t="shared" si="43"/>
        <v/>
      </c>
    </row>
    <row r="250" spans="1:268" s="31" customFormat="1" x14ac:dyDescent="0.4">
      <c r="A250" s="32"/>
      <c r="B250" s="32"/>
      <c r="C250" s="32"/>
      <c r="D250" s="32"/>
      <c r="E250" s="38"/>
      <c r="F250" s="61"/>
      <c r="G250" s="33"/>
      <c r="H250" s="33"/>
      <c r="I250" s="27" t="str">
        <f t="shared" si="37"/>
        <v/>
      </c>
      <c r="J250" s="33"/>
      <c r="K250" s="28">
        <f t="shared" si="35"/>
        <v>0</v>
      </c>
      <c r="L250" s="28">
        <f>IF(AND($Y250&lt;&gt;"",$X250&lt;&gt;""),MAX(0,ROUND(($X250*$Y250),0)-NETWORKDAYS.INTL($V250,基準日,1)),0)</f>
        <v>0</v>
      </c>
      <c r="M250" s="28">
        <f t="shared" ca="1" si="36"/>
        <v>0</v>
      </c>
      <c r="N250" s="28">
        <f t="shared" ca="1" si="38"/>
        <v>0</v>
      </c>
      <c r="O250" s="34"/>
      <c r="P250" s="34"/>
      <c r="Q250" s="71" t="str" cm="1">
        <f t="array" ref="Q250">IF(SUMPRODUCT(--(B250:E250&lt;&gt;""))&gt;0,"○","")</f>
        <v/>
      </c>
      <c r="R250" s="35"/>
      <c r="S250" s="35"/>
      <c r="T250" s="35"/>
      <c r="U250" s="66"/>
      <c r="V250" s="29" t="str">
        <f t="shared" si="39"/>
        <v/>
      </c>
      <c r="W250" s="29" t="str">
        <f t="shared" si="40"/>
        <v/>
      </c>
      <c r="X250" s="30" t="str">
        <f t="shared" si="41"/>
        <v/>
      </c>
      <c r="Y250" s="36"/>
      <c r="Z250" s="37"/>
      <c r="AA250" s="37"/>
      <c r="JG250" s="31" t="str">
        <f t="shared" si="42"/>
        <v/>
      </c>
      <c r="JH250" s="31" t="str">
        <f t="shared" si="43"/>
        <v/>
      </c>
    </row>
    <row r="251" spans="1:268" s="31" customFormat="1" x14ac:dyDescent="0.4">
      <c r="A251" s="32"/>
      <c r="B251" s="32"/>
      <c r="C251" s="32"/>
      <c r="D251" s="32"/>
      <c r="E251" s="38"/>
      <c r="F251" s="61"/>
      <c r="G251" s="33"/>
      <c r="H251" s="33"/>
      <c r="I251" s="27" t="str">
        <f t="shared" si="37"/>
        <v/>
      </c>
      <c r="J251" s="33"/>
      <c r="K251" s="28">
        <f t="shared" si="35"/>
        <v>0</v>
      </c>
      <c r="L251" s="28">
        <f>IF(AND($Y251&lt;&gt;"",$X251&lt;&gt;""),MAX(0,ROUND(($X251*$Y251),0)-NETWORKDAYS.INTL($V251,基準日,1)),0)</f>
        <v>0</v>
      </c>
      <c r="M251" s="28">
        <f t="shared" ca="1" si="36"/>
        <v>0</v>
      </c>
      <c r="N251" s="28">
        <f t="shared" ca="1" si="38"/>
        <v>0</v>
      </c>
      <c r="O251" s="34"/>
      <c r="P251" s="34"/>
      <c r="Q251" s="71" t="str" cm="1">
        <f t="array" ref="Q251">IF(SUMPRODUCT(--(B251:E251&lt;&gt;""))&gt;0,"○","")</f>
        <v/>
      </c>
      <c r="R251" s="35"/>
      <c r="S251" s="35"/>
      <c r="T251" s="35"/>
      <c r="U251" s="66"/>
      <c r="V251" s="29" t="str">
        <f t="shared" si="39"/>
        <v/>
      </c>
      <c r="W251" s="29" t="str">
        <f t="shared" si="40"/>
        <v/>
      </c>
      <c r="X251" s="30" t="str">
        <f t="shared" si="41"/>
        <v/>
      </c>
      <c r="Y251" s="36"/>
      <c r="Z251" s="37"/>
      <c r="AA251" s="37"/>
      <c r="JG251" s="31" t="str">
        <f t="shared" si="42"/>
        <v/>
      </c>
      <c r="JH251" s="31" t="str">
        <f t="shared" si="43"/>
        <v/>
      </c>
    </row>
    <row r="252" spans="1:268" s="31" customFormat="1" x14ac:dyDescent="0.4">
      <c r="A252" s="32"/>
      <c r="B252" s="32"/>
      <c r="C252" s="32"/>
      <c r="D252" s="32"/>
      <c r="E252" s="38"/>
      <c r="F252" s="61"/>
      <c r="G252" s="33"/>
      <c r="H252" s="33"/>
      <c r="I252" s="27" t="str">
        <f t="shared" si="37"/>
        <v/>
      </c>
      <c r="J252" s="33"/>
      <c r="K252" s="28">
        <f t="shared" si="35"/>
        <v>0</v>
      </c>
      <c r="L252" s="28">
        <f>IF(AND($Y252&lt;&gt;"",$X252&lt;&gt;""),MAX(0,ROUND(($X252*$Y252),0)-NETWORKDAYS.INTL($V252,基準日,1)),0)</f>
        <v>0</v>
      </c>
      <c r="M252" s="28">
        <f t="shared" ca="1" si="36"/>
        <v>0</v>
      </c>
      <c r="N252" s="28">
        <f t="shared" ca="1" si="38"/>
        <v>0</v>
      </c>
      <c r="O252" s="34"/>
      <c r="P252" s="34"/>
      <c r="Q252" s="71" t="str" cm="1">
        <f t="array" ref="Q252">IF(SUMPRODUCT(--(B252:E252&lt;&gt;""))&gt;0,"○","")</f>
        <v/>
      </c>
      <c r="R252" s="35"/>
      <c r="S252" s="35"/>
      <c r="T252" s="35"/>
      <c r="U252" s="66"/>
      <c r="V252" s="29" t="str">
        <f t="shared" si="39"/>
        <v/>
      </c>
      <c r="W252" s="29" t="str">
        <f t="shared" si="40"/>
        <v/>
      </c>
      <c r="X252" s="30" t="str">
        <f t="shared" si="41"/>
        <v/>
      </c>
      <c r="Y252" s="36"/>
      <c r="Z252" s="37"/>
      <c r="AA252" s="37"/>
      <c r="JG252" s="31" t="str">
        <f t="shared" si="42"/>
        <v/>
      </c>
      <c r="JH252" s="31" t="str">
        <f t="shared" si="43"/>
        <v/>
      </c>
    </row>
    <row r="253" spans="1:268" s="31" customFormat="1" x14ac:dyDescent="0.4">
      <c r="A253" s="32"/>
      <c r="B253" s="32"/>
      <c r="C253" s="32"/>
      <c r="D253" s="32"/>
      <c r="E253" s="38"/>
      <c r="F253" s="61"/>
      <c r="G253" s="33"/>
      <c r="H253" s="33"/>
      <c r="I253" s="27" t="str">
        <f t="shared" si="37"/>
        <v/>
      </c>
      <c r="J253" s="33"/>
      <c r="K253" s="28">
        <f t="shared" si="35"/>
        <v>0</v>
      </c>
      <c r="L253" s="28">
        <f>IF(AND($Y253&lt;&gt;"",$X253&lt;&gt;""),MAX(0,ROUND(($X253*$Y253),0)-NETWORKDAYS.INTL($V253,基準日,1)),0)</f>
        <v>0</v>
      </c>
      <c r="M253" s="28">
        <f t="shared" ca="1" si="36"/>
        <v>0</v>
      </c>
      <c r="N253" s="28">
        <f t="shared" ca="1" si="38"/>
        <v>0</v>
      </c>
      <c r="O253" s="34"/>
      <c r="P253" s="34"/>
      <c r="Q253" s="71" t="str" cm="1">
        <f t="array" ref="Q253">IF(SUMPRODUCT(--(B253:E253&lt;&gt;""))&gt;0,"○","")</f>
        <v/>
      </c>
      <c r="R253" s="35"/>
      <c r="S253" s="35"/>
      <c r="T253" s="35"/>
      <c r="U253" s="66"/>
      <c r="V253" s="29" t="str">
        <f t="shared" si="39"/>
        <v/>
      </c>
      <c r="W253" s="29" t="str">
        <f t="shared" si="40"/>
        <v/>
      </c>
      <c r="X253" s="30" t="str">
        <f t="shared" si="41"/>
        <v/>
      </c>
      <c r="Y253" s="36"/>
      <c r="Z253" s="37"/>
      <c r="AA253" s="37"/>
      <c r="JG253" s="31" t="str">
        <f t="shared" si="42"/>
        <v/>
      </c>
      <c r="JH253" s="31" t="str">
        <f t="shared" si="43"/>
        <v/>
      </c>
    </row>
    <row r="254" spans="1:268" s="31" customFormat="1" x14ac:dyDescent="0.4">
      <c r="A254" s="32"/>
      <c r="B254" s="32"/>
      <c r="C254" s="32"/>
      <c r="D254" s="32"/>
      <c r="E254" s="38"/>
      <c r="F254" s="61"/>
      <c r="G254" s="33"/>
      <c r="H254" s="33"/>
      <c r="I254" s="27" t="str">
        <f t="shared" si="37"/>
        <v/>
      </c>
      <c r="J254" s="33"/>
      <c r="K254" s="28">
        <f t="shared" si="35"/>
        <v>0</v>
      </c>
      <c r="L254" s="28">
        <f>IF(AND($Y254&lt;&gt;"",$X254&lt;&gt;""),MAX(0,ROUND(($X254*$Y254),0)-NETWORKDAYS.INTL($V254,基準日,1)),0)</f>
        <v>0</v>
      </c>
      <c r="M254" s="28">
        <f t="shared" ca="1" si="36"/>
        <v>0</v>
      </c>
      <c r="N254" s="28">
        <f t="shared" ca="1" si="38"/>
        <v>0</v>
      </c>
      <c r="O254" s="34"/>
      <c r="P254" s="34"/>
      <c r="Q254" s="71" t="str" cm="1">
        <f t="array" ref="Q254">IF(SUMPRODUCT(--(B254:E254&lt;&gt;""))&gt;0,"○","")</f>
        <v/>
      </c>
      <c r="R254" s="35"/>
      <c r="S254" s="35"/>
      <c r="T254" s="35"/>
      <c r="U254" s="66"/>
      <c r="V254" s="29" t="str">
        <f t="shared" si="39"/>
        <v/>
      </c>
      <c r="W254" s="29" t="str">
        <f t="shared" si="40"/>
        <v/>
      </c>
      <c r="X254" s="30" t="str">
        <f t="shared" si="41"/>
        <v/>
      </c>
      <c r="Y254" s="36"/>
      <c r="Z254" s="37"/>
      <c r="AA254" s="37"/>
      <c r="JG254" s="31" t="str">
        <f t="shared" si="42"/>
        <v/>
      </c>
      <c r="JH254" s="31" t="str">
        <f t="shared" si="43"/>
        <v/>
      </c>
    </row>
    <row r="255" spans="1:268" s="31" customFormat="1" x14ac:dyDescent="0.4">
      <c r="A255" s="32"/>
      <c r="B255" s="32"/>
      <c r="C255" s="32"/>
      <c r="D255" s="32"/>
      <c r="E255" s="38"/>
      <c r="F255" s="61"/>
      <c r="G255" s="33"/>
      <c r="H255" s="33"/>
      <c r="I255" s="27" t="str">
        <f t="shared" si="37"/>
        <v/>
      </c>
      <c r="J255" s="33"/>
      <c r="K255" s="28">
        <f t="shared" si="35"/>
        <v>0</v>
      </c>
      <c r="L255" s="28">
        <f>IF(AND($Y255&lt;&gt;"",$X255&lt;&gt;""),MAX(0,ROUND(($X255*$Y255),0)-NETWORKDAYS.INTL($V255,基準日,1)),0)</f>
        <v>0</v>
      </c>
      <c r="M255" s="28">
        <f t="shared" ca="1" si="36"/>
        <v>0</v>
      </c>
      <c r="N255" s="28">
        <f t="shared" ca="1" si="38"/>
        <v>0</v>
      </c>
      <c r="O255" s="34"/>
      <c r="P255" s="34"/>
      <c r="Q255" s="71" t="str" cm="1">
        <f t="array" ref="Q255">IF(SUMPRODUCT(--(B255:E255&lt;&gt;""))&gt;0,"○","")</f>
        <v/>
      </c>
      <c r="R255" s="35"/>
      <c r="S255" s="35"/>
      <c r="T255" s="35"/>
      <c r="U255" s="66"/>
      <c r="V255" s="29" t="str">
        <f t="shared" si="39"/>
        <v/>
      </c>
      <c r="W255" s="29" t="str">
        <f t="shared" si="40"/>
        <v/>
      </c>
      <c r="X255" s="30" t="str">
        <f t="shared" si="41"/>
        <v/>
      </c>
      <c r="Y255" s="36"/>
      <c r="Z255" s="37"/>
      <c r="AA255" s="37"/>
      <c r="JG255" s="31" t="str">
        <f t="shared" si="42"/>
        <v/>
      </c>
      <c r="JH255" s="31" t="str">
        <f t="shared" si="43"/>
        <v/>
      </c>
    </row>
    <row r="256" spans="1:268" s="31" customFormat="1" x14ac:dyDescent="0.4">
      <c r="A256" s="32"/>
      <c r="B256" s="32"/>
      <c r="C256" s="32"/>
      <c r="D256" s="32"/>
      <c r="E256" s="38"/>
      <c r="F256" s="61"/>
      <c r="G256" s="33"/>
      <c r="H256" s="33"/>
      <c r="I256" s="27" t="str">
        <f t="shared" si="37"/>
        <v/>
      </c>
      <c r="J256" s="33"/>
      <c r="K256" s="28">
        <f t="shared" si="35"/>
        <v>0</v>
      </c>
      <c r="L256" s="28">
        <f>IF(AND($Y256&lt;&gt;"",$X256&lt;&gt;""),MAX(0,ROUND(($X256*$Y256),0)-NETWORKDAYS.INTL($V256,基準日,1)),0)</f>
        <v>0</v>
      </c>
      <c r="M256" s="28">
        <f t="shared" ca="1" si="36"/>
        <v>0</v>
      </c>
      <c r="N256" s="28">
        <f t="shared" ca="1" si="38"/>
        <v>0</v>
      </c>
      <c r="O256" s="34"/>
      <c r="P256" s="34"/>
      <c r="Q256" s="71" t="str" cm="1">
        <f t="array" ref="Q256">IF(SUMPRODUCT(--(B256:E256&lt;&gt;""))&gt;0,"○","")</f>
        <v/>
      </c>
      <c r="R256" s="35"/>
      <c r="S256" s="35"/>
      <c r="T256" s="35"/>
      <c r="U256" s="66"/>
      <c r="V256" s="29" t="str">
        <f t="shared" si="39"/>
        <v/>
      </c>
      <c r="W256" s="29" t="str">
        <f t="shared" si="40"/>
        <v/>
      </c>
      <c r="X256" s="30" t="str">
        <f t="shared" si="41"/>
        <v/>
      </c>
      <c r="Y256" s="36"/>
      <c r="Z256" s="37"/>
      <c r="AA256" s="37"/>
      <c r="JG256" s="31" t="str">
        <f t="shared" si="42"/>
        <v/>
      </c>
      <c r="JH256" s="31" t="str">
        <f t="shared" si="43"/>
        <v/>
      </c>
    </row>
    <row r="257" spans="1:268" s="31" customFormat="1" x14ac:dyDescent="0.4">
      <c r="A257" s="32"/>
      <c r="B257" s="32"/>
      <c r="C257" s="32"/>
      <c r="D257" s="32"/>
      <c r="E257" s="38"/>
      <c r="F257" s="61"/>
      <c r="G257" s="33"/>
      <c r="H257" s="33"/>
      <c r="I257" s="27" t="str">
        <f t="shared" si="37"/>
        <v/>
      </c>
      <c r="J257" s="33"/>
      <c r="K257" s="28">
        <f t="shared" si="35"/>
        <v>0</v>
      </c>
      <c r="L257" s="28">
        <f>IF(AND($Y257&lt;&gt;"",$X257&lt;&gt;""),MAX(0,ROUND(($X257*$Y257),0)-NETWORKDAYS.INTL($V257,基準日,1)),0)</f>
        <v>0</v>
      </c>
      <c r="M257" s="28">
        <f t="shared" ca="1" si="36"/>
        <v>0</v>
      </c>
      <c r="N257" s="28">
        <f t="shared" ca="1" si="38"/>
        <v>0</v>
      </c>
      <c r="O257" s="34"/>
      <c r="P257" s="34"/>
      <c r="Q257" s="71" t="str" cm="1">
        <f t="array" ref="Q257">IF(SUMPRODUCT(--(B257:E257&lt;&gt;""))&gt;0,"○","")</f>
        <v/>
      </c>
      <c r="R257" s="35"/>
      <c r="S257" s="35"/>
      <c r="T257" s="35"/>
      <c r="U257" s="66"/>
      <c r="V257" s="29" t="str">
        <f t="shared" si="39"/>
        <v/>
      </c>
      <c r="W257" s="29" t="str">
        <f t="shared" si="40"/>
        <v/>
      </c>
      <c r="X257" s="30" t="str">
        <f t="shared" si="41"/>
        <v/>
      </c>
      <c r="Y257" s="36"/>
      <c r="Z257" s="37"/>
      <c r="AA257" s="37"/>
      <c r="JG257" s="31" t="str">
        <f t="shared" si="42"/>
        <v/>
      </c>
      <c r="JH257" s="31" t="str">
        <f t="shared" si="43"/>
        <v/>
      </c>
    </row>
    <row r="258" spans="1:268" s="31" customFormat="1" x14ac:dyDescent="0.4">
      <c r="A258" s="32"/>
      <c r="B258" s="32"/>
      <c r="C258" s="32"/>
      <c r="D258" s="32"/>
      <c r="E258" s="38"/>
      <c r="F258" s="61"/>
      <c r="G258" s="33"/>
      <c r="H258" s="33"/>
      <c r="I258" s="27" t="str">
        <f t="shared" si="37"/>
        <v/>
      </c>
      <c r="J258" s="33"/>
      <c r="K258" s="28">
        <f t="shared" si="35"/>
        <v>0</v>
      </c>
      <c r="L258" s="28">
        <f>IF(AND($Y258&lt;&gt;"",$X258&lt;&gt;""),MAX(0,ROUND(($X258*$Y258),0)-NETWORKDAYS.INTL($V258,基準日,1)),0)</f>
        <v>0</v>
      </c>
      <c r="M258" s="28">
        <f t="shared" ca="1" si="36"/>
        <v>0</v>
      </c>
      <c r="N258" s="28">
        <f t="shared" ca="1" si="38"/>
        <v>0</v>
      </c>
      <c r="O258" s="34"/>
      <c r="P258" s="34"/>
      <c r="Q258" s="71" t="str" cm="1">
        <f t="array" ref="Q258">IF(SUMPRODUCT(--(B258:E258&lt;&gt;""))&gt;0,"○","")</f>
        <v/>
      </c>
      <c r="R258" s="35"/>
      <c r="S258" s="35"/>
      <c r="T258" s="35"/>
      <c r="U258" s="66"/>
      <c r="V258" s="29" t="str">
        <f t="shared" si="39"/>
        <v/>
      </c>
      <c r="W258" s="29" t="str">
        <f t="shared" si="40"/>
        <v/>
      </c>
      <c r="X258" s="30" t="str">
        <f t="shared" si="41"/>
        <v/>
      </c>
      <c r="Y258" s="36"/>
      <c r="Z258" s="37"/>
      <c r="AA258" s="37"/>
      <c r="JG258" s="31" t="str">
        <f t="shared" si="42"/>
        <v/>
      </c>
      <c r="JH258" s="31" t="str">
        <f t="shared" si="43"/>
        <v/>
      </c>
    </row>
    <row r="259" spans="1:268" s="31" customFormat="1" x14ac:dyDescent="0.4">
      <c r="A259" s="32"/>
      <c r="B259" s="32"/>
      <c r="C259" s="32"/>
      <c r="D259" s="32"/>
      <c r="E259" s="38"/>
      <c r="F259" s="61"/>
      <c r="G259" s="33"/>
      <c r="H259" s="33"/>
      <c r="I259" s="27" t="str">
        <f t="shared" si="37"/>
        <v/>
      </c>
      <c r="J259" s="33"/>
      <c r="K259" s="28">
        <f t="shared" si="35"/>
        <v>0</v>
      </c>
      <c r="L259" s="28">
        <f>IF(AND($Y259&lt;&gt;"",$X259&lt;&gt;""),MAX(0,ROUND(($X259*$Y259),0)-NETWORKDAYS.INTL($V259,基準日,1)),0)</f>
        <v>0</v>
      </c>
      <c r="M259" s="28">
        <f t="shared" ca="1" si="36"/>
        <v>0</v>
      </c>
      <c r="N259" s="28">
        <f t="shared" ca="1" si="38"/>
        <v>0</v>
      </c>
      <c r="O259" s="34"/>
      <c r="P259" s="34"/>
      <c r="Q259" s="71" t="str" cm="1">
        <f t="array" ref="Q259">IF(SUMPRODUCT(--(B259:E259&lt;&gt;""))&gt;0,"○","")</f>
        <v/>
      </c>
      <c r="R259" s="35"/>
      <c r="S259" s="35"/>
      <c r="T259" s="35"/>
      <c r="U259" s="66"/>
      <c r="V259" s="29" t="str">
        <f t="shared" si="39"/>
        <v/>
      </c>
      <c r="W259" s="29" t="str">
        <f t="shared" si="40"/>
        <v/>
      </c>
      <c r="X259" s="30" t="str">
        <f t="shared" si="41"/>
        <v/>
      </c>
      <c r="Y259" s="36"/>
      <c r="Z259" s="37"/>
      <c r="AA259" s="37"/>
      <c r="JG259" s="31" t="str">
        <f t="shared" si="42"/>
        <v/>
      </c>
      <c r="JH259" s="31" t="str">
        <f t="shared" si="43"/>
        <v/>
      </c>
    </row>
    <row r="260" spans="1:268" s="31" customFormat="1" x14ac:dyDescent="0.4">
      <c r="A260" s="32"/>
      <c r="B260" s="32"/>
      <c r="C260" s="32"/>
      <c r="D260" s="32"/>
      <c r="E260" s="38"/>
      <c r="F260" s="61"/>
      <c r="G260" s="33"/>
      <c r="H260" s="33"/>
      <c r="I260" s="27" t="str">
        <f t="shared" si="37"/>
        <v/>
      </c>
      <c r="J260" s="33"/>
      <c r="K260" s="28">
        <f t="shared" si="35"/>
        <v>0</v>
      </c>
      <c r="L260" s="28">
        <f>IF(AND($Y260&lt;&gt;"",$X260&lt;&gt;""),MAX(0,ROUND(($X260*$Y260),0)-NETWORKDAYS.INTL($V260,基準日,1)),0)</f>
        <v>0</v>
      </c>
      <c r="M260" s="28">
        <f t="shared" ca="1" si="36"/>
        <v>0</v>
      </c>
      <c r="N260" s="28">
        <f t="shared" ca="1" si="38"/>
        <v>0</v>
      </c>
      <c r="O260" s="34"/>
      <c r="P260" s="34"/>
      <c r="Q260" s="71" t="str" cm="1">
        <f t="array" ref="Q260">IF(SUMPRODUCT(--(B260:E260&lt;&gt;""))&gt;0,"○","")</f>
        <v/>
      </c>
      <c r="R260" s="35"/>
      <c r="S260" s="35"/>
      <c r="T260" s="35"/>
      <c r="U260" s="66"/>
      <c r="V260" s="29" t="str">
        <f t="shared" si="39"/>
        <v/>
      </c>
      <c r="W260" s="29" t="str">
        <f t="shared" si="40"/>
        <v/>
      </c>
      <c r="X260" s="30" t="str">
        <f t="shared" si="41"/>
        <v/>
      </c>
      <c r="Y260" s="36"/>
      <c r="Z260" s="37"/>
      <c r="AA260" s="37"/>
      <c r="JG260" s="31" t="str">
        <f t="shared" si="42"/>
        <v/>
      </c>
      <c r="JH260" s="31" t="str">
        <f t="shared" si="43"/>
        <v/>
      </c>
    </row>
    <row r="261" spans="1:268" s="31" customFormat="1" x14ac:dyDescent="0.4">
      <c r="A261" s="32"/>
      <c r="B261" s="32"/>
      <c r="C261" s="32"/>
      <c r="D261" s="32"/>
      <c r="E261" s="38"/>
      <c r="F261" s="61"/>
      <c r="G261" s="33"/>
      <c r="H261" s="33"/>
      <c r="I261" s="27" t="str">
        <f t="shared" si="37"/>
        <v/>
      </c>
      <c r="J261" s="33"/>
      <c r="K261" s="28">
        <f t="shared" ref="K261:K324" si="44">IF($Z261&lt;&gt;"",IF($W261&gt;=$Z261,$W261-$Z261,$X261)*$Y261,0)</f>
        <v>0</v>
      </c>
      <c r="L261" s="28">
        <f>IF(AND($Y261&lt;&gt;"",$X261&lt;&gt;""),MAX(0,ROUND(($X261*$Y261),0)-NETWORKDAYS.INTL($V261,基準日,1)),0)</f>
        <v>0</v>
      </c>
      <c r="M261" s="28">
        <f t="shared" ref="M261:M324" ca="1" si="45">IF(AND(IFERROR(VALUE($X261),0),$Z261="",$V261&lt;基準日),基準日-$V261,0)</f>
        <v>0</v>
      </c>
      <c r="N261" s="28">
        <f t="shared" ca="1" si="38"/>
        <v>0</v>
      </c>
      <c r="O261" s="34"/>
      <c r="P261" s="34"/>
      <c r="Q261" s="71" t="str" cm="1">
        <f t="array" ref="Q261">IF(SUMPRODUCT(--(B261:E261&lt;&gt;""))&gt;0,"○","")</f>
        <v/>
      </c>
      <c r="R261" s="35"/>
      <c r="S261" s="35"/>
      <c r="T261" s="35"/>
      <c r="U261" s="66"/>
      <c r="V261" s="29" t="str">
        <f t="shared" si="39"/>
        <v/>
      </c>
      <c r="W261" s="29" t="str">
        <f t="shared" si="40"/>
        <v/>
      </c>
      <c r="X261" s="30" t="str">
        <f t="shared" si="41"/>
        <v/>
      </c>
      <c r="Y261" s="36"/>
      <c r="Z261" s="37"/>
      <c r="AA261" s="37"/>
      <c r="JG261" s="31" t="str">
        <f t="shared" si="42"/>
        <v/>
      </c>
      <c r="JH261" s="31" t="str">
        <f t="shared" si="43"/>
        <v/>
      </c>
    </row>
    <row r="262" spans="1:268" s="31" customFormat="1" x14ac:dyDescent="0.4">
      <c r="A262" s="32"/>
      <c r="B262" s="32"/>
      <c r="C262" s="32"/>
      <c r="D262" s="32"/>
      <c r="E262" s="38"/>
      <c r="F262" s="61"/>
      <c r="G262" s="33"/>
      <c r="H262" s="33"/>
      <c r="I262" s="27" t="str">
        <f t="shared" ref="I262:I325" si="46">IF(ISBLANK(G262),"","○")</f>
        <v/>
      </c>
      <c r="J262" s="33"/>
      <c r="K262" s="28">
        <f t="shared" si="44"/>
        <v>0</v>
      </c>
      <c r="L262" s="28">
        <f>IF(AND($Y262&lt;&gt;"",$X262&lt;&gt;""),MAX(0,ROUND(($X262*$Y262),0)-NETWORKDAYS.INTL($V262,基準日,1)),0)</f>
        <v>0</v>
      </c>
      <c r="M262" s="28">
        <f t="shared" ca="1" si="45"/>
        <v>0</v>
      </c>
      <c r="N262" s="28">
        <f t="shared" ref="N262:N325" ca="1" si="47">MAX(L262:M262)</f>
        <v>0</v>
      </c>
      <c r="O262" s="34"/>
      <c r="P262" s="34"/>
      <c r="Q262" s="71" t="str" cm="1">
        <f t="array" ref="Q262">IF(SUMPRODUCT(--(B262:E262&lt;&gt;""))&gt;0,"○","")</f>
        <v/>
      </c>
      <c r="R262" s="35"/>
      <c r="S262" s="35"/>
      <c r="T262" s="35"/>
      <c r="U262" s="66"/>
      <c r="V262" s="29" t="str">
        <f t="shared" ref="V262:V325" si="48">IF(NOT(ISBLANK(S262)),S262,IF(AND(NOT(ISBLANK(T262)),NOT(ISBLANK(U262))),IF(NOT(JH262),T262-U262+1,WORKDAY.INTL(T262,-U262+1,1)),""))</f>
        <v/>
      </c>
      <c r="W262" s="29" t="str">
        <f t="shared" ref="W262:W325" si="49">IF(NOT(ISBLANK(T262)),T262,IF(AND(NOT(ISBLANK(S262)),NOT(ISBLANK(U262))),IF(NOT(JG262),S262+U262-1,WORKDAY.INTL(S262,U262-1,1)),""))</f>
        <v/>
      </c>
      <c r="X262" s="30" t="str">
        <f t="shared" ref="X262:X325" si="50">IF(NOT(ISBLANK(U262)),U262,IF(AND(NOT(ISBLANK(S262)),NOT(ISBLANK(T262))),IF(S262&lt;=T262,IF(OR(NOT(JG262),NOT(JH262)),T262-S262+1,NETWORKDAYS.INTL(S262,T262,1)),0),""))</f>
        <v/>
      </c>
      <c r="Y262" s="36"/>
      <c r="Z262" s="37"/>
      <c r="AA262" s="37"/>
      <c r="JG262" s="31" t="str">
        <f t="shared" ref="JG262:JG325" si="51">IF(ISBLANK(S262),"",IF(OR(WEEKDAY(S262,2)=6,WEEKDAY(S262,2)=7),FALSE,TRUE))</f>
        <v/>
      </c>
      <c r="JH262" s="31" t="str">
        <f t="shared" ref="JH262:JH325" si="52">IF(ISBLANK(T262),"",IF(OR(WEEKDAY(T262,2)=6,WEEKDAY(T262,2)=7),FALSE,TRUE))</f>
        <v/>
      </c>
    </row>
    <row r="263" spans="1:268" s="31" customFormat="1" x14ac:dyDescent="0.4">
      <c r="A263" s="32"/>
      <c r="B263" s="32"/>
      <c r="C263" s="32"/>
      <c r="D263" s="32"/>
      <c r="E263" s="38"/>
      <c r="F263" s="61"/>
      <c r="G263" s="33"/>
      <c r="H263" s="33"/>
      <c r="I263" s="27" t="str">
        <f t="shared" si="46"/>
        <v/>
      </c>
      <c r="J263" s="33"/>
      <c r="K263" s="28">
        <f t="shared" si="44"/>
        <v>0</v>
      </c>
      <c r="L263" s="28">
        <f>IF(AND($Y263&lt;&gt;"",$X263&lt;&gt;""),MAX(0,ROUND(($X263*$Y263),0)-NETWORKDAYS.INTL($V263,基準日,1)),0)</f>
        <v>0</v>
      </c>
      <c r="M263" s="28">
        <f t="shared" ca="1" si="45"/>
        <v>0</v>
      </c>
      <c r="N263" s="28">
        <f t="shared" ca="1" si="47"/>
        <v>0</v>
      </c>
      <c r="O263" s="34"/>
      <c r="P263" s="34"/>
      <c r="Q263" s="71" t="str" cm="1">
        <f t="array" ref="Q263">IF(SUMPRODUCT(--(B263:E263&lt;&gt;""))&gt;0,"○","")</f>
        <v/>
      </c>
      <c r="R263" s="35"/>
      <c r="S263" s="35"/>
      <c r="T263" s="35"/>
      <c r="U263" s="66"/>
      <c r="V263" s="29" t="str">
        <f t="shared" si="48"/>
        <v/>
      </c>
      <c r="W263" s="29" t="str">
        <f t="shared" si="49"/>
        <v/>
      </c>
      <c r="X263" s="30" t="str">
        <f t="shared" si="50"/>
        <v/>
      </c>
      <c r="Y263" s="36"/>
      <c r="Z263" s="37"/>
      <c r="AA263" s="37"/>
      <c r="JG263" s="31" t="str">
        <f t="shared" si="51"/>
        <v/>
      </c>
      <c r="JH263" s="31" t="str">
        <f t="shared" si="52"/>
        <v/>
      </c>
    </row>
    <row r="264" spans="1:268" s="31" customFormat="1" x14ac:dyDescent="0.4">
      <c r="A264" s="32"/>
      <c r="B264" s="32"/>
      <c r="C264" s="32"/>
      <c r="D264" s="32"/>
      <c r="E264" s="38"/>
      <c r="F264" s="61"/>
      <c r="G264" s="33"/>
      <c r="H264" s="33"/>
      <c r="I264" s="27" t="str">
        <f t="shared" si="46"/>
        <v/>
      </c>
      <c r="J264" s="33"/>
      <c r="K264" s="28">
        <f t="shared" si="44"/>
        <v>0</v>
      </c>
      <c r="L264" s="28">
        <f>IF(AND($Y264&lt;&gt;"",$X264&lt;&gt;""),MAX(0,ROUND(($X264*$Y264),0)-NETWORKDAYS.INTL($V264,基準日,1)),0)</f>
        <v>0</v>
      </c>
      <c r="M264" s="28">
        <f t="shared" ca="1" si="45"/>
        <v>0</v>
      </c>
      <c r="N264" s="28">
        <f t="shared" ca="1" si="47"/>
        <v>0</v>
      </c>
      <c r="O264" s="34"/>
      <c r="P264" s="34"/>
      <c r="Q264" s="71" t="str" cm="1">
        <f t="array" ref="Q264">IF(SUMPRODUCT(--(B264:E264&lt;&gt;""))&gt;0,"○","")</f>
        <v/>
      </c>
      <c r="R264" s="35"/>
      <c r="S264" s="35"/>
      <c r="T264" s="35"/>
      <c r="U264" s="66"/>
      <c r="V264" s="29" t="str">
        <f t="shared" si="48"/>
        <v/>
      </c>
      <c r="W264" s="29" t="str">
        <f t="shared" si="49"/>
        <v/>
      </c>
      <c r="X264" s="30" t="str">
        <f t="shared" si="50"/>
        <v/>
      </c>
      <c r="Y264" s="36"/>
      <c r="Z264" s="37"/>
      <c r="AA264" s="37"/>
      <c r="JG264" s="31" t="str">
        <f t="shared" si="51"/>
        <v/>
      </c>
      <c r="JH264" s="31" t="str">
        <f t="shared" si="52"/>
        <v/>
      </c>
    </row>
    <row r="265" spans="1:268" s="31" customFormat="1" x14ac:dyDescent="0.4">
      <c r="A265" s="32"/>
      <c r="B265" s="32"/>
      <c r="C265" s="32"/>
      <c r="D265" s="32"/>
      <c r="E265" s="38"/>
      <c r="F265" s="61"/>
      <c r="G265" s="33"/>
      <c r="H265" s="33"/>
      <c r="I265" s="27" t="str">
        <f t="shared" si="46"/>
        <v/>
      </c>
      <c r="J265" s="33"/>
      <c r="K265" s="28">
        <f t="shared" si="44"/>
        <v>0</v>
      </c>
      <c r="L265" s="28">
        <f>IF(AND($Y265&lt;&gt;"",$X265&lt;&gt;""),MAX(0,ROUND(($X265*$Y265),0)-NETWORKDAYS.INTL($V265,基準日,1)),0)</f>
        <v>0</v>
      </c>
      <c r="M265" s="28">
        <f t="shared" ca="1" si="45"/>
        <v>0</v>
      </c>
      <c r="N265" s="28">
        <f t="shared" ca="1" si="47"/>
        <v>0</v>
      </c>
      <c r="O265" s="34"/>
      <c r="P265" s="34"/>
      <c r="Q265" s="71" t="str" cm="1">
        <f t="array" ref="Q265">IF(SUMPRODUCT(--(B265:E265&lt;&gt;""))&gt;0,"○","")</f>
        <v/>
      </c>
      <c r="R265" s="35"/>
      <c r="S265" s="35"/>
      <c r="T265" s="35"/>
      <c r="U265" s="66"/>
      <c r="V265" s="29" t="str">
        <f t="shared" si="48"/>
        <v/>
      </c>
      <c r="W265" s="29" t="str">
        <f t="shared" si="49"/>
        <v/>
      </c>
      <c r="X265" s="30" t="str">
        <f t="shared" si="50"/>
        <v/>
      </c>
      <c r="Y265" s="36"/>
      <c r="Z265" s="37"/>
      <c r="AA265" s="37"/>
      <c r="JG265" s="31" t="str">
        <f t="shared" si="51"/>
        <v/>
      </c>
      <c r="JH265" s="31" t="str">
        <f t="shared" si="52"/>
        <v/>
      </c>
    </row>
    <row r="266" spans="1:268" s="31" customFormat="1" x14ac:dyDescent="0.4">
      <c r="A266" s="32"/>
      <c r="B266" s="32"/>
      <c r="C266" s="32"/>
      <c r="D266" s="32"/>
      <c r="E266" s="38"/>
      <c r="F266" s="61"/>
      <c r="G266" s="33"/>
      <c r="H266" s="33"/>
      <c r="I266" s="27" t="str">
        <f t="shared" si="46"/>
        <v/>
      </c>
      <c r="J266" s="33"/>
      <c r="K266" s="28">
        <f t="shared" si="44"/>
        <v>0</v>
      </c>
      <c r="L266" s="28">
        <f>IF(AND($Y266&lt;&gt;"",$X266&lt;&gt;""),MAX(0,ROUND(($X266*$Y266),0)-NETWORKDAYS.INTL($V266,基準日,1)),0)</f>
        <v>0</v>
      </c>
      <c r="M266" s="28">
        <f t="shared" ca="1" si="45"/>
        <v>0</v>
      </c>
      <c r="N266" s="28">
        <f t="shared" ca="1" si="47"/>
        <v>0</v>
      </c>
      <c r="O266" s="34"/>
      <c r="P266" s="34"/>
      <c r="Q266" s="71" t="str" cm="1">
        <f t="array" ref="Q266">IF(SUMPRODUCT(--(B266:E266&lt;&gt;""))&gt;0,"○","")</f>
        <v/>
      </c>
      <c r="R266" s="35"/>
      <c r="S266" s="35"/>
      <c r="T266" s="35"/>
      <c r="U266" s="66"/>
      <c r="V266" s="29" t="str">
        <f t="shared" si="48"/>
        <v/>
      </c>
      <c r="W266" s="29" t="str">
        <f t="shared" si="49"/>
        <v/>
      </c>
      <c r="X266" s="30" t="str">
        <f t="shared" si="50"/>
        <v/>
      </c>
      <c r="Y266" s="36"/>
      <c r="Z266" s="37"/>
      <c r="AA266" s="37"/>
      <c r="JG266" s="31" t="str">
        <f t="shared" si="51"/>
        <v/>
      </c>
      <c r="JH266" s="31" t="str">
        <f t="shared" si="52"/>
        <v/>
      </c>
    </row>
    <row r="267" spans="1:268" s="31" customFormat="1" x14ac:dyDescent="0.4">
      <c r="A267" s="32"/>
      <c r="B267" s="32"/>
      <c r="C267" s="32"/>
      <c r="D267" s="32"/>
      <c r="E267" s="38"/>
      <c r="F267" s="61"/>
      <c r="G267" s="33"/>
      <c r="H267" s="33"/>
      <c r="I267" s="27" t="str">
        <f t="shared" si="46"/>
        <v/>
      </c>
      <c r="J267" s="33"/>
      <c r="K267" s="28">
        <f t="shared" si="44"/>
        <v>0</v>
      </c>
      <c r="L267" s="28">
        <f>IF(AND($Y267&lt;&gt;"",$X267&lt;&gt;""),MAX(0,ROUND(($X267*$Y267),0)-NETWORKDAYS.INTL($V267,基準日,1)),0)</f>
        <v>0</v>
      </c>
      <c r="M267" s="28">
        <f t="shared" ca="1" si="45"/>
        <v>0</v>
      </c>
      <c r="N267" s="28">
        <f t="shared" ca="1" si="47"/>
        <v>0</v>
      </c>
      <c r="O267" s="34"/>
      <c r="P267" s="34"/>
      <c r="Q267" s="71" t="str" cm="1">
        <f t="array" ref="Q267">IF(SUMPRODUCT(--(B267:E267&lt;&gt;""))&gt;0,"○","")</f>
        <v/>
      </c>
      <c r="R267" s="35"/>
      <c r="S267" s="35"/>
      <c r="T267" s="35"/>
      <c r="U267" s="66"/>
      <c r="V267" s="29" t="str">
        <f t="shared" si="48"/>
        <v/>
      </c>
      <c r="W267" s="29" t="str">
        <f t="shared" si="49"/>
        <v/>
      </c>
      <c r="X267" s="30" t="str">
        <f t="shared" si="50"/>
        <v/>
      </c>
      <c r="Y267" s="36"/>
      <c r="Z267" s="37"/>
      <c r="AA267" s="37"/>
      <c r="JG267" s="31" t="str">
        <f t="shared" si="51"/>
        <v/>
      </c>
      <c r="JH267" s="31" t="str">
        <f t="shared" si="52"/>
        <v/>
      </c>
    </row>
    <row r="268" spans="1:268" s="31" customFormat="1" x14ac:dyDescent="0.4">
      <c r="A268" s="32"/>
      <c r="B268" s="32"/>
      <c r="C268" s="32"/>
      <c r="D268" s="32"/>
      <c r="E268" s="38"/>
      <c r="F268" s="61"/>
      <c r="G268" s="33"/>
      <c r="H268" s="33"/>
      <c r="I268" s="27" t="str">
        <f t="shared" si="46"/>
        <v/>
      </c>
      <c r="J268" s="33"/>
      <c r="K268" s="28">
        <f t="shared" si="44"/>
        <v>0</v>
      </c>
      <c r="L268" s="28">
        <f>IF(AND($Y268&lt;&gt;"",$X268&lt;&gt;""),MAX(0,ROUND(($X268*$Y268),0)-NETWORKDAYS.INTL($V268,基準日,1)),0)</f>
        <v>0</v>
      </c>
      <c r="M268" s="28">
        <f t="shared" ca="1" si="45"/>
        <v>0</v>
      </c>
      <c r="N268" s="28">
        <f t="shared" ca="1" si="47"/>
        <v>0</v>
      </c>
      <c r="O268" s="34"/>
      <c r="P268" s="34"/>
      <c r="Q268" s="71" t="str" cm="1">
        <f t="array" ref="Q268">IF(SUMPRODUCT(--(B268:E268&lt;&gt;""))&gt;0,"○","")</f>
        <v/>
      </c>
      <c r="R268" s="35"/>
      <c r="S268" s="35"/>
      <c r="T268" s="35"/>
      <c r="U268" s="66"/>
      <c r="V268" s="29" t="str">
        <f t="shared" si="48"/>
        <v/>
      </c>
      <c r="W268" s="29" t="str">
        <f t="shared" si="49"/>
        <v/>
      </c>
      <c r="X268" s="30" t="str">
        <f t="shared" si="50"/>
        <v/>
      </c>
      <c r="Y268" s="36"/>
      <c r="Z268" s="37"/>
      <c r="AA268" s="37"/>
      <c r="JG268" s="31" t="str">
        <f t="shared" si="51"/>
        <v/>
      </c>
      <c r="JH268" s="31" t="str">
        <f t="shared" si="52"/>
        <v/>
      </c>
    </row>
    <row r="269" spans="1:268" s="31" customFormat="1" x14ac:dyDescent="0.4">
      <c r="A269" s="32"/>
      <c r="B269" s="32"/>
      <c r="C269" s="32"/>
      <c r="D269" s="32"/>
      <c r="E269" s="38"/>
      <c r="F269" s="61"/>
      <c r="G269" s="33"/>
      <c r="H269" s="33"/>
      <c r="I269" s="27" t="str">
        <f t="shared" si="46"/>
        <v/>
      </c>
      <c r="J269" s="33"/>
      <c r="K269" s="28">
        <f t="shared" si="44"/>
        <v>0</v>
      </c>
      <c r="L269" s="28">
        <f>IF(AND($Y269&lt;&gt;"",$X269&lt;&gt;""),MAX(0,ROUND(($X269*$Y269),0)-NETWORKDAYS.INTL($V269,基準日,1)),0)</f>
        <v>0</v>
      </c>
      <c r="M269" s="28">
        <f t="shared" ca="1" si="45"/>
        <v>0</v>
      </c>
      <c r="N269" s="28">
        <f t="shared" ca="1" si="47"/>
        <v>0</v>
      </c>
      <c r="O269" s="34"/>
      <c r="P269" s="34"/>
      <c r="Q269" s="71" t="str" cm="1">
        <f t="array" ref="Q269">IF(SUMPRODUCT(--(B269:E269&lt;&gt;""))&gt;0,"○","")</f>
        <v/>
      </c>
      <c r="R269" s="35"/>
      <c r="S269" s="35"/>
      <c r="T269" s="35"/>
      <c r="U269" s="66"/>
      <c r="V269" s="29" t="str">
        <f t="shared" si="48"/>
        <v/>
      </c>
      <c r="W269" s="29" t="str">
        <f t="shared" si="49"/>
        <v/>
      </c>
      <c r="X269" s="30" t="str">
        <f t="shared" si="50"/>
        <v/>
      </c>
      <c r="Y269" s="36"/>
      <c r="Z269" s="37"/>
      <c r="AA269" s="37"/>
      <c r="JG269" s="31" t="str">
        <f t="shared" si="51"/>
        <v/>
      </c>
      <c r="JH269" s="31" t="str">
        <f t="shared" si="52"/>
        <v/>
      </c>
    </row>
    <row r="270" spans="1:268" s="31" customFormat="1" x14ac:dyDescent="0.4">
      <c r="A270" s="32"/>
      <c r="B270" s="32"/>
      <c r="C270" s="32"/>
      <c r="D270" s="32"/>
      <c r="E270" s="38"/>
      <c r="F270" s="61"/>
      <c r="G270" s="33"/>
      <c r="H270" s="33"/>
      <c r="I270" s="27" t="str">
        <f t="shared" si="46"/>
        <v/>
      </c>
      <c r="J270" s="33"/>
      <c r="K270" s="28">
        <f t="shared" si="44"/>
        <v>0</v>
      </c>
      <c r="L270" s="28">
        <f>IF(AND($Y270&lt;&gt;"",$X270&lt;&gt;""),MAX(0,ROUND(($X270*$Y270),0)-NETWORKDAYS.INTL($V270,基準日,1)),0)</f>
        <v>0</v>
      </c>
      <c r="M270" s="28">
        <f t="shared" ca="1" si="45"/>
        <v>0</v>
      </c>
      <c r="N270" s="28">
        <f t="shared" ca="1" si="47"/>
        <v>0</v>
      </c>
      <c r="O270" s="34"/>
      <c r="P270" s="34"/>
      <c r="Q270" s="71" t="str" cm="1">
        <f t="array" ref="Q270">IF(SUMPRODUCT(--(B270:E270&lt;&gt;""))&gt;0,"○","")</f>
        <v/>
      </c>
      <c r="R270" s="35"/>
      <c r="S270" s="35"/>
      <c r="T270" s="35"/>
      <c r="U270" s="66"/>
      <c r="V270" s="29" t="str">
        <f t="shared" si="48"/>
        <v/>
      </c>
      <c r="W270" s="29" t="str">
        <f t="shared" si="49"/>
        <v/>
      </c>
      <c r="X270" s="30" t="str">
        <f t="shared" si="50"/>
        <v/>
      </c>
      <c r="Y270" s="36"/>
      <c r="Z270" s="37"/>
      <c r="AA270" s="37"/>
      <c r="JG270" s="31" t="str">
        <f t="shared" si="51"/>
        <v/>
      </c>
      <c r="JH270" s="31" t="str">
        <f t="shared" si="52"/>
        <v/>
      </c>
    </row>
    <row r="271" spans="1:268" s="31" customFormat="1" x14ac:dyDescent="0.4">
      <c r="A271" s="32"/>
      <c r="B271" s="32"/>
      <c r="C271" s="32"/>
      <c r="D271" s="32"/>
      <c r="E271" s="38"/>
      <c r="F271" s="61"/>
      <c r="G271" s="33"/>
      <c r="H271" s="33"/>
      <c r="I271" s="27" t="str">
        <f t="shared" si="46"/>
        <v/>
      </c>
      <c r="J271" s="33"/>
      <c r="K271" s="28">
        <f t="shared" si="44"/>
        <v>0</v>
      </c>
      <c r="L271" s="28">
        <f>IF(AND($Y271&lt;&gt;"",$X271&lt;&gt;""),MAX(0,ROUND(($X271*$Y271),0)-NETWORKDAYS.INTL($V271,基準日,1)),0)</f>
        <v>0</v>
      </c>
      <c r="M271" s="28">
        <f t="shared" ca="1" si="45"/>
        <v>0</v>
      </c>
      <c r="N271" s="28">
        <f t="shared" ca="1" si="47"/>
        <v>0</v>
      </c>
      <c r="O271" s="34"/>
      <c r="P271" s="34"/>
      <c r="Q271" s="71" t="str" cm="1">
        <f t="array" ref="Q271">IF(SUMPRODUCT(--(B271:E271&lt;&gt;""))&gt;0,"○","")</f>
        <v/>
      </c>
      <c r="R271" s="35"/>
      <c r="S271" s="35"/>
      <c r="T271" s="35"/>
      <c r="U271" s="66"/>
      <c r="V271" s="29" t="str">
        <f t="shared" si="48"/>
        <v/>
      </c>
      <c r="W271" s="29" t="str">
        <f t="shared" si="49"/>
        <v/>
      </c>
      <c r="X271" s="30" t="str">
        <f t="shared" si="50"/>
        <v/>
      </c>
      <c r="Y271" s="36"/>
      <c r="Z271" s="37"/>
      <c r="AA271" s="37"/>
      <c r="JG271" s="31" t="str">
        <f t="shared" si="51"/>
        <v/>
      </c>
      <c r="JH271" s="31" t="str">
        <f t="shared" si="52"/>
        <v/>
      </c>
    </row>
    <row r="272" spans="1:268" s="31" customFormat="1" x14ac:dyDescent="0.4">
      <c r="A272" s="32"/>
      <c r="B272" s="32"/>
      <c r="C272" s="32"/>
      <c r="D272" s="32"/>
      <c r="E272" s="38"/>
      <c r="F272" s="61"/>
      <c r="G272" s="33"/>
      <c r="H272" s="33"/>
      <c r="I272" s="27" t="str">
        <f t="shared" si="46"/>
        <v/>
      </c>
      <c r="J272" s="33"/>
      <c r="K272" s="28">
        <f t="shared" si="44"/>
        <v>0</v>
      </c>
      <c r="L272" s="28">
        <f>IF(AND($Y272&lt;&gt;"",$X272&lt;&gt;""),MAX(0,ROUND(($X272*$Y272),0)-NETWORKDAYS.INTL($V272,基準日,1)),0)</f>
        <v>0</v>
      </c>
      <c r="M272" s="28">
        <f t="shared" ca="1" si="45"/>
        <v>0</v>
      </c>
      <c r="N272" s="28">
        <f t="shared" ca="1" si="47"/>
        <v>0</v>
      </c>
      <c r="O272" s="34"/>
      <c r="P272" s="34"/>
      <c r="Q272" s="71" t="str" cm="1">
        <f t="array" ref="Q272">IF(SUMPRODUCT(--(B272:E272&lt;&gt;""))&gt;0,"○","")</f>
        <v/>
      </c>
      <c r="R272" s="35"/>
      <c r="S272" s="35"/>
      <c r="T272" s="35"/>
      <c r="U272" s="66"/>
      <c r="V272" s="29" t="str">
        <f t="shared" si="48"/>
        <v/>
      </c>
      <c r="W272" s="29" t="str">
        <f t="shared" si="49"/>
        <v/>
      </c>
      <c r="X272" s="30" t="str">
        <f t="shared" si="50"/>
        <v/>
      </c>
      <c r="Y272" s="36"/>
      <c r="Z272" s="37"/>
      <c r="AA272" s="37"/>
      <c r="JG272" s="31" t="str">
        <f t="shared" si="51"/>
        <v/>
      </c>
      <c r="JH272" s="31" t="str">
        <f t="shared" si="52"/>
        <v/>
      </c>
    </row>
    <row r="273" spans="1:268" s="31" customFormat="1" x14ac:dyDescent="0.4">
      <c r="A273" s="32"/>
      <c r="B273" s="32"/>
      <c r="C273" s="32"/>
      <c r="D273" s="32"/>
      <c r="E273" s="38"/>
      <c r="F273" s="61"/>
      <c r="G273" s="33"/>
      <c r="H273" s="33"/>
      <c r="I273" s="27" t="str">
        <f t="shared" si="46"/>
        <v/>
      </c>
      <c r="J273" s="33"/>
      <c r="K273" s="28">
        <f t="shared" si="44"/>
        <v>0</v>
      </c>
      <c r="L273" s="28">
        <f>IF(AND($Y273&lt;&gt;"",$X273&lt;&gt;""),MAX(0,ROUND(($X273*$Y273),0)-NETWORKDAYS.INTL($V273,基準日,1)),0)</f>
        <v>0</v>
      </c>
      <c r="M273" s="28">
        <f t="shared" ca="1" si="45"/>
        <v>0</v>
      </c>
      <c r="N273" s="28">
        <f t="shared" ca="1" si="47"/>
        <v>0</v>
      </c>
      <c r="O273" s="34"/>
      <c r="P273" s="34"/>
      <c r="Q273" s="71" t="str" cm="1">
        <f t="array" ref="Q273">IF(SUMPRODUCT(--(B273:E273&lt;&gt;""))&gt;0,"○","")</f>
        <v/>
      </c>
      <c r="R273" s="35"/>
      <c r="S273" s="35"/>
      <c r="T273" s="35"/>
      <c r="U273" s="66"/>
      <c r="V273" s="29" t="str">
        <f t="shared" si="48"/>
        <v/>
      </c>
      <c r="W273" s="29" t="str">
        <f t="shared" si="49"/>
        <v/>
      </c>
      <c r="X273" s="30" t="str">
        <f t="shared" si="50"/>
        <v/>
      </c>
      <c r="Y273" s="36"/>
      <c r="Z273" s="37"/>
      <c r="AA273" s="37"/>
      <c r="JG273" s="31" t="str">
        <f t="shared" si="51"/>
        <v/>
      </c>
      <c r="JH273" s="31" t="str">
        <f t="shared" si="52"/>
        <v/>
      </c>
    </row>
    <row r="274" spans="1:268" s="31" customFormat="1" x14ac:dyDescent="0.4">
      <c r="A274" s="32"/>
      <c r="B274" s="32"/>
      <c r="C274" s="32"/>
      <c r="D274" s="32"/>
      <c r="E274" s="38"/>
      <c r="F274" s="61"/>
      <c r="G274" s="33"/>
      <c r="H274" s="33"/>
      <c r="I274" s="27" t="str">
        <f t="shared" si="46"/>
        <v/>
      </c>
      <c r="J274" s="33"/>
      <c r="K274" s="28">
        <f t="shared" si="44"/>
        <v>0</v>
      </c>
      <c r="L274" s="28">
        <f>IF(AND($Y274&lt;&gt;"",$X274&lt;&gt;""),MAX(0,ROUND(($X274*$Y274),0)-NETWORKDAYS.INTL($V274,基準日,1)),0)</f>
        <v>0</v>
      </c>
      <c r="M274" s="28">
        <f t="shared" ca="1" si="45"/>
        <v>0</v>
      </c>
      <c r="N274" s="28">
        <f t="shared" ca="1" si="47"/>
        <v>0</v>
      </c>
      <c r="O274" s="34"/>
      <c r="P274" s="34"/>
      <c r="Q274" s="71" t="str" cm="1">
        <f t="array" ref="Q274">IF(SUMPRODUCT(--(B274:E274&lt;&gt;""))&gt;0,"○","")</f>
        <v/>
      </c>
      <c r="R274" s="35"/>
      <c r="S274" s="35"/>
      <c r="T274" s="35"/>
      <c r="U274" s="66"/>
      <c r="V274" s="29" t="str">
        <f t="shared" si="48"/>
        <v/>
      </c>
      <c r="W274" s="29" t="str">
        <f t="shared" si="49"/>
        <v/>
      </c>
      <c r="X274" s="30" t="str">
        <f t="shared" si="50"/>
        <v/>
      </c>
      <c r="Y274" s="36"/>
      <c r="Z274" s="37"/>
      <c r="AA274" s="37"/>
      <c r="JG274" s="31" t="str">
        <f t="shared" si="51"/>
        <v/>
      </c>
      <c r="JH274" s="31" t="str">
        <f t="shared" si="52"/>
        <v/>
      </c>
    </row>
    <row r="275" spans="1:268" s="31" customFormat="1" x14ac:dyDescent="0.4">
      <c r="A275" s="32"/>
      <c r="B275" s="32"/>
      <c r="C275" s="32"/>
      <c r="D275" s="32"/>
      <c r="E275" s="38"/>
      <c r="F275" s="61"/>
      <c r="G275" s="33"/>
      <c r="H275" s="33"/>
      <c r="I275" s="27" t="str">
        <f t="shared" si="46"/>
        <v/>
      </c>
      <c r="J275" s="33"/>
      <c r="K275" s="28">
        <f t="shared" si="44"/>
        <v>0</v>
      </c>
      <c r="L275" s="28">
        <f>IF(AND($Y275&lt;&gt;"",$X275&lt;&gt;""),MAX(0,ROUND(($X275*$Y275),0)-NETWORKDAYS.INTL($V275,基準日,1)),0)</f>
        <v>0</v>
      </c>
      <c r="M275" s="28">
        <f t="shared" ca="1" si="45"/>
        <v>0</v>
      </c>
      <c r="N275" s="28">
        <f t="shared" ca="1" si="47"/>
        <v>0</v>
      </c>
      <c r="O275" s="34"/>
      <c r="P275" s="34"/>
      <c r="Q275" s="71" t="str" cm="1">
        <f t="array" ref="Q275">IF(SUMPRODUCT(--(B275:E275&lt;&gt;""))&gt;0,"○","")</f>
        <v/>
      </c>
      <c r="R275" s="35"/>
      <c r="S275" s="35"/>
      <c r="T275" s="35"/>
      <c r="U275" s="66"/>
      <c r="V275" s="29" t="str">
        <f t="shared" si="48"/>
        <v/>
      </c>
      <c r="W275" s="29" t="str">
        <f t="shared" si="49"/>
        <v/>
      </c>
      <c r="X275" s="30" t="str">
        <f t="shared" si="50"/>
        <v/>
      </c>
      <c r="Y275" s="36"/>
      <c r="Z275" s="37"/>
      <c r="AA275" s="37"/>
      <c r="JG275" s="31" t="str">
        <f t="shared" si="51"/>
        <v/>
      </c>
      <c r="JH275" s="31" t="str">
        <f t="shared" si="52"/>
        <v/>
      </c>
    </row>
    <row r="276" spans="1:268" s="31" customFormat="1" x14ac:dyDescent="0.4">
      <c r="A276" s="32"/>
      <c r="B276" s="32"/>
      <c r="C276" s="32"/>
      <c r="D276" s="32"/>
      <c r="E276" s="38"/>
      <c r="F276" s="61"/>
      <c r="G276" s="33"/>
      <c r="H276" s="33"/>
      <c r="I276" s="27" t="str">
        <f t="shared" si="46"/>
        <v/>
      </c>
      <c r="J276" s="33"/>
      <c r="K276" s="28">
        <f t="shared" si="44"/>
        <v>0</v>
      </c>
      <c r="L276" s="28">
        <f>IF(AND($Y276&lt;&gt;"",$X276&lt;&gt;""),MAX(0,ROUND(($X276*$Y276),0)-NETWORKDAYS.INTL($V276,基準日,1)),0)</f>
        <v>0</v>
      </c>
      <c r="M276" s="28">
        <f t="shared" ca="1" si="45"/>
        <v>0</v>
      </c>
      <c r="N276" s="28">
        <f t="shared" ca="1" si="47"/>
        <v>0</v>
      </c>
      <c r="O276" s="34"/>
      <c r="P276" s="34"/>
      <c r="Q276" s="71" t="str" cm="1">
        <f t="array" ref="Q276">IF(SUMPRODUCT(--(B276:E276&lt;&gt;""))&gt;0,"○","")</f>
        <v/>
      </c>
      <c r="R276" s="35"/>
      <c r="S276" s="35"/>
      <c r="T276" s="35"/>
      <c r="U276" s="66"/>
      <c r="V276" s="29" t="str">
        <f t="shared" si="48"/>
        <v/>
      </c>
      <c r="W276" s="29" t="str">
        <f t="shared" si="49"/>
        <v/>
      </c>
      <c r="X276" s="30" t="str">
        <f t="shared" si="50"/>
        <v/>
      </c>
      <c r="Y276" s="36"/>
      <c r="Z276" s="37"/>
      <c r="AA276" s="37"/>
      <c r="JG276" s="31" t="str">
        <f t="shared" si="51"/>
        <v/>
      </c>
      <c r="JH276" s="31" t="str">
        <f t="shared" si="52"/>
        <v/>
      </c>
    </row>
    <row r="277" spans="1:268" s="31" customFormat="1" x14ac:dyDescent="0.4">
      <c r="A277" s="32"/>
      <c r="B277" s="32"/>
      <c r="C277" s="32"/>
      <c r="D277" s="32"/>
      <c r="E277" s="38"/>
      <c r="F277" s="61"/>
      <c r="G277" s="33"/>
      <c r="H277" s="33"/>
      <c r="I277" s="27" t="str">
        <f t="shared" si="46"/>
        <v/>
      </c>
      <c r="J277" s="33"/>
      <c r="K277" s="28">
        <f t="shared" si="44"/>
        <v>0</v>
      </c>
      <c r="L277" s="28">
        <f>IF(AND($Y277&lt;&gt;"",$X277&lt;&gt;""),MAX(0,ROUND(($X277*$Y277),0)-NETWORKDAYS.INTL($V277,基準日,1)),0)</f>
        <v>0</v>
      </c>
      <c r="M277" s="28">
        <f t="shared" ca="1" si="45"/>
        <v>0</v>
      </c>
      <c r="N277" s="28">
        <f t="shared" ca="1" si="47"/>
        <v>0</v>
      </c>
      <c r="O277" s="34"/>
      <c r="P277" s="34"/>
      <c r="Q277" s="71" t="str" cm="1">
        <f t="array" ref="Q277">IF(SUMPRODUCT(--(B277:E277&lt;&gt;""))&gt;0,"○","")</f>
        <v/>
      </c>
      <c r="R277" s="35"/>
      <c r="S277" s="35"/>
      <c r="T277" s="35"/>
      <c r="U277" s="66"/>
      <c r="V277" s="29" t="str">
        <f t="shared" si="48"/>
        <v/>
      </c>
      <c r="W277" s="29" t="str">
        <f t="shared" si="49"/>
        <v/>
      </c>
      <c r="X277" s="30" t="str">
        <f t="shared" si="50"/>
        <v/>
      </c>
      <c r="Y277" s="36"/>
      <c r="Z277" s="37"/>
      <c r="AA277" s="37"/>
      <c r="JG277" s="31" t="str">
        <f t="shared" si="51"/>
        <v/>
      </c>
      <c r="JH277" s="31" t="str">
        <f t="shared" si="52"/>
        <v/>
      </c>
    </row>
    <row r="278" spans="1:268" s="31" customFormat="1" x14ac:dyDescent="0.4">
      <c r="A278" s="32"/>
      <c r="B278" s="32"/>
      <c r="C278" s="32"/>
      <c r="D278" s="32"/>
      <c r="E278" s="38"/>
      <c r="F278" s="61"/>
      <c r="G278" s="33"/>
      <c r="H278" s="33"/>
      <c r="I278" s="27" t="str">
        <f t="shared" si="46"/>
        <v/>
      </c>
      <c r="J278" s="33"/>
      <c r="K278" s="28">
        <f t="shared" si="44"/>
        <v>0</v>
      </c>
      <c r="L278" s="28">
        <f>IF(AND($Y278&lt;&gt;"",$X278&lt;&gt;""),MAX(0,ROUND(($X278*$Y278),0)-NETWORKDAYS.INTL($V278,基準日,1)),0)</f>
        <v>0</v>
      </c>
      <c r="M278" s="28">
        <f t="shared" ca="1" si="45"/>
        <v>0</v>
      </c>
      <c r="N278" s="28">
        <f t="shared" ca="1" si="47"/>
        <v>0</v>
      </c>
      <c r="O278" s="34"/>
      <c r="P278" s="34"/>
      <c r="Q278" s="71" t="str" cm="1">
        <f t="array" ref="Q278">IF(SUMPRODUCT(--(B278:E278&lt;&gt;""))&gt;0,"○","")</f>
        <v/>
      </c>
      <c r="R278" s="35"/>
      <c r="S278" s="35"/>
      <c r="T278" s="35"/>
      <c r="U278" s="66"/>
      <c r="V278" s="29" t="str">
        <f t="shared" si="48"/>
        <v/>
      </c>
      <c r="W278" s="29" t="str">
        <f t="shared" si="49"/>
        <v/>
      </c>
      <c r="X278" s="30" t="str">
        <f t="shared" si="50"/>
        <v/>
      </c>
      <c r="Y278" s="36"/>
      <c r="Z278" s="37"/>
      <c r="AA278" s="37"/>
      <c r="JG278" s="31" t="str">
        <f t="shared" si="51"/>
        <v/>
      </c>
      <c r="JH278" s="31" t="str">
        <f t="shared" si="52"/>
        <v/>
      </c>
    </row>
    <row r="279" spans="1:268" s="31" customFormat="1" x14ac:dyDescent="0.4">
      <c r="A279" s="32"/>
      <c r="B279" s="32"/>
      <c r="C279" s="32"/>
      <c r="D279" s="32"/>
      <c r="E279" s="38"/>
      <c r="F279" s="61"/>
      <c r="G279" s="33"/>
      <c r="H279" s="33"/>
      <c r="I279" s="27" t="str">
        <f t="shared" si="46"/>
        <v/>
      </c>
      <c r="J279" s="33"/>
      <c r="K279" s="28">
        <f t="shared" si="44"/>
        <v>0</v>
      </c>
      <c r="L279" s="28">
        <f>IF(AND($Y279&lt;&gt;"",$X279&lt;&gt;""),MAX(0,ROUND(($X279*$Y279),0)-NETWORKDAYS.INTL($V279,基準日,1)),0)</f>
        <v>0</v>
      </c>
      <c r="M279" s="28">
        <f t="shared" ca="1" si="45"/>
        <v>0</v>
      </c>
      <c r="N279" s="28">
        <f t="shared" ca="1" si="47"/>
        <v>0</v>
      </c>
      <c r="O279" s="34"/>
      <c r="P279" s="34"/>
      <c r="Q279" s="71" t="str" cm="1">
        <f t="array" ref="Q279">IF(SUMPRODUCT(--(B279:E279&lt;&gt;""))&gt;0,"○","")</f>
        <v/>
      </c>
      <c r="R279" s="35"/>
      <c r="S279" s="35"/>
      <c r="T279" s="35"/>
      <c r="U279" s="66"/>
      <c r="V279" s="29" t="str">
        <f t="shared" si="48"/>
        <v/>
      </c>
      <c r="W279" s="29" t="str">
        <f t="shared" si="49"/>
        <v/>
      </c>
      <c r="X279" s="30" t="str">
        <f t="shared" si="50"/>
        <v/>
      </c>
      <c r="Y279" s="36"/>
      <c r="Z279" s="37"/>
      <c r="AA279" s="37"/>
      <c r="JG279" s="31" t="str">
        <f t="shared" si="51"/>
        <v/>
      </c>
      <c r="JH279" s="31" t="str">
        <f t="shared" si="52"/>
        <v/>
      </c>
    </row>
    <row r="280" spans="1:268" s="31" customFormat="1" x14ac:dyDescent="0.4">
      <c r="A280" s="32"/>
      <c r="B280" s="32"/>
      <c r="C280" s="32"/>
      <c r="D280" s="32"/>
      <c r="E280" s="38"/>
      <c r="F280" s="61"/>
      <c r="G280" s="33"/>
      <c r="H280" s="33"/>
      <c r="I280" s="27" t="str">
        <f t="shared" si="46"/>
        <v/>
      </c>
      <c r="J280" s="33"/>
      <c r="K280" s="28">
        <f t="shared" si="44"/>
        <v>0</v>
      </c>
      <c r="L280" s="28">
        <f>IF(AND($Y280&lt;&gt;"",$X280&lt;&gt;""),MAX(0,ROUND(($X280*$Y280),0)-NETWORKDAYS.INTL($V280,基準日,1)),0)</f>
        <v>0</v>
      </c>
      <c r="M280" s="28">
        <f t="shared" ca="1" si="45"/>
        <v>0</v>
      </c>
      <c r="N280" s="28">
        <f t="shared" ca="1" si="47"/>
        <v>0</v>
      </c>
      <c r="O280" s="34"/>
      <c r="P280" s="34"/>
      <c r="Q280" s="71" t="str" cm="1">
        <f t="array" ref="Q280">IF(SUMPRODUCT(--(B280:E280&lt;&gt;""))&gt;0,"○","")</f>
        <v/>
      </c>
      <c r="R280" s="35"/>
      <c r="S280" s="35"/>
      <c r="T280" s="35"/>
      <c r="U280" s="66"/>
      <c r="V280" s="29" t="str">
        <f t="shared" si="48"/>
        <v/>
      </c>
      <c r="W280" s="29" t="str">
        <f t="shared" si="49"/>
        <v/>
      </c>
      <c r="X280" s="30" t="str">
        <f t="shared" si="50"/>
        <v/>
      </c>
      <c r="Y280" s="36"/>
      <c r="Z280" s="37"/>
      <c r="AA280" s="37"/>
      <c r="JG280" s="31" t="str">
        <f t="shared" si="51"/>
        <v/>
      </c>
      <c r="JH280" s="31" t="str">
        <f t="shared" si="52"/>
        <v/>
      </c>
    </row>
    <row r="281" spans="1:268" s="31" customFormat="1" x14ac:dyDescent="0.4">
      <c r="A281" s="32"/>
      <c r="B281" s="32"/>
      <c r="C281" s="32"/>
      <c r="D281" s="32"/>
      <c r="E281" s="38"/>
      <c r="F281" s="61"/>
      <c r="G281" s="33"/>
      <c r="H281" s="33"/>
      <c r="I281" s="27" t="str">
        <f t="shared" si="46"/>
        <v/>
      </c>
      <c r="J281" s="33"/>
      <c r="K281" s="28">
        <f t="shared" si="44"/>
        <v>0</v>
      </c>
      <c r="L281" s="28">
        <f>IF(AND($Y281&lt;&gt;"",$X281&lt;&gt;""),MAX(0,ROUND(($X281*$Y281),0)-NETWORKDAYS.INTL($V281,基準日,1)),0)</f>
        <v>0</v>
      </c>
      <c r="M281" s="28">
        <f t="shared" ca="1" si="45"/>
        <v>0</v>
      </c>
      <c r="N281" s="28">
        <f t="shared" ca="1" si="47"/>
        <v>0</v>
      </c>
      <c r="O281" s="34"/>
      <c r="P281" s="34"/>
      <c r="Q281" s="71" t="str" cm="1">
        <f t="array" ref="Q281">IF(SUMPRODUCT(--(B281:E281&lt;&gt;""))&gt;0,"○","")</f>
        <v/>
      </c>
      <c r="R281" s="35"/>
      <c r="S281" s="35"/>
      <c r="T281" s="35"/>
      <c r="U281" s="66"/>
      <c r="V281" s="29" t="str">
        <f t="shared" si="48"/>
        <v/>
      </c>
      <c r="W281" s="29" t="str">
        <f t="shared" si="49"/>
        <v/>
      </c>
      <c r="X281" s="30" t="str">
        <f t="shared" si="50"/>
        <v/>
      </c>
      <c r="Y281" s="36"/>
      <c r="Z281" s="37"/>
      <c r="AA281" s="37"/>
      <c r="JG281" s="31" t="str">
        <f t="shared" si="51"/>
        <v/>
      </c>
      <c r="JH281" s="31" t="str">
        <f t="shared" si="52"/>
        <v/>
      </c>
    </row>
    <row r="282" spans="1:268" s="31" customFormat="1" x14ac:dyDescent="0.4">
      <c r="A282" s="32"/>
      <c r="B282" s="32"/>
      <c r="C282" s="32"/>
      <c r="D282" s="32"/>
      <c r="E282" s="38"/>
      <c r="F282" s="61"/>
      <c r="G282" s="33"/>
      <c r="H282" s="33"/>
      <c r="I282" s="27" t="str">
        <f t="shared" si="46"/>
        <v/>
      </c>
      <c r="J282" s="33"/>
      <c r="K282" s="28">
        <f t="shared" si="44"/>
        <v>0</v>
      </c>
      <c r="L282" s="28">
        <f>IF(AND($Y282&lt;&gt;"",$X282&lt;&gt;""),MAX(0,ROUND(($X282*$Y282),0)-NETWORKDAYS.INTL($V282,基準日,1)),0)</f>
        <v>0</v>
      </c>
      <c r="M282" s="28">
        <f t="shared" ca="1" si="45"/>
        <v>0</v>
      </c>
      <c r="N282" s="28">
        <f t="shared" ca="1" si="47"/>
        <v>0</v>
      </c>
      <c r="O282" s="34"/>
      <c r="P282" s="34"/>
      <c r="Q282" s="71" t="str" cm="1">
        <f t="array" ref="Q282">IF(SUMPRODUCT(--(B282:E282&lt;&gt;""))&gt;0,"○","")</f>
        <v/>
      </c>
      <c r="R282" s="35"/>
      <c r="S282" s="35"/>
      <c r="T282" s="35"/>
      <c r="U282" s="66"/>
      <c r="V282" s="29" t="str">
        <f t="shared" si="48"/>
        <v/>
      </c>
      <c r="W282" s="29" t="str">
        <f t="shared" si="49"/>
        <v/>
      </c>
      <c r="X282" s="30" t="str">
        <f t="shared" si="50"/>
        <v/>
      </c>
      <c r="Y282" s="36"/>
      <c r="Z282" s="37"/>
      <c r="AA282" s="37"/>
      <c r="JG282" s="31" t="str">
        <f t="shared" si="51"/>
        <v/>
      </c>
      <c r="JH282" s="31" t="str">
        <f t="shared" si="52"/>
        <v/>
      </c>
    </row>
    <row r="283" spans="1:268" s="31" customFormat="1" x14ac:dyDescent="0.4">
      <c r="A283" s="32"/>
      <c r="B283" s="32"/>
      <c r="C283" s="32"/>
      <c r="D283" s="32"/>
      <c r="E283" s="38"/>
      <c r="F283" s="61"/>
      <c r="G283" s="33"/>
      <c r="H283" s="33"/>
      <c r="I283" s="27" t="str">
        <f t="shared" si="46"/>
        <v/>
      </c>
      <c r="J283" s="33"/>
      <c r="K283" s="28">
        <f t="shared" si="44"/>
        <v>0</v>
      </c>
      <c r="L283" s="28">
        <f>IF(AND($Y283&lt;&gt;"",$X283&lt;&gt;""),MAX(0,ROUND(($X283*$Y283),0)-NETWORKDAYS.INTL($V283,基準日,1)),0)</f>
        <v>0</v>
      </c>
      <c r="M283" s="28">
        <f t="shared" ca="1" si="45"/>
        <v>0</v>
      </c>
      <c r="N283" s="28">
        <f t="shared" ca="1" si="47"/>
        <v>0</v>
      </c>
      <c r="O283" s="34"/>
      <c r="P283" s="34"/>
      <c r="Q283" s="71" t="str" cm="1">
        <f t="array" ref="Q283">IF(SUMPRODUCT(--(B283:E283&lt;&gt;""))&gt;0,"○","")</f>
        <v/>
      </c>
      <c r="R283" s="35"/>
      <c r="S283" s="35"/>
      <c r="T283" s="35"/>
      <c r="U283" s="66"/>
      <c r="V283" s="29" t="str">
        <f t="shared" si="48"/>
        <v/>
      </c>
      <c r="W283" s="29" t="str">
        <f t="shared" si="49"/>
        <v/>
      </c>
      <c r="X283" s="30" t="str">
        <f t="shared" si="50"/>
        <v/>
      </c>
      <c r="Y283" s="36"/>
      <c r="Z283" s="37"/>
      <c r="AA283" s="37"/>
      <c r="JG283" s="31" t="str">
        <f t="shared" si="51"/>
        <v/>
      </c>
      <c r="JH283" s="31" t="str">
        <f t="shared" si="52"/>
        <v/>
      </c>
    </row>
    <row r="284" spans="1:268" s="31" customFormat="1" x14ac:dyDescent="0.4">
      <c r="A284" s="32"/>
      <c r="B284" s="32"/>
      <c r="C284" s="32"/>
      <c r="D284" s="32"/>
      <c r="E284" s="38"/>
      <c r="F284" s="61"/>
      <c r="G284" s="33"/>
      <c r="H284" s="33"/>
      <c r="I284" s="27" t="str">
        <f t="shared" si="46"/>
        <v/>
      </c>
      <c r="J284" s="33"/>
      <c r="K284" s="28">
        <f t="shared" si="44"/>
        <v>0</v>
      </c>
      <c r="L284" s="28">
        <f>IF(AND($Y284&lt;&gt;"",$X284&lt;&gt;""),MAX(0,ROUND(($X284*$Y284),0)-NETWORKDAYS.INTL($V284,基準日,1)),0)</f>
        <v>0</v>
      </c>
      <c r="M284" s="28">
        <f t="shared" ca="1" si="45"/>
        <v>0</v>
      </c>
      <c r="N284" s="28">
        <f t="shared" ca="1" si="47"/>
        <v>0</v>
      </c>
      <c r="O284" s="34"/>
      <c r="P284" s="34"/>
      <c r="Q284" s="71" t="str" cm="1">
        <f t="array" ref="Q284">IF(SUMPRODUCT(--(B284:E284&lt;&gt;""))&gt;0,"○","")</f>
        <v/>
      </c>
      <c r="R284" s="35"/>
      <c r="S284" s="35"/>
      <c r="T284" s="35"/>
      <c r="U284" s="66"/>
      <c r="V284" s="29" t="str">
        <f t="shared" si="48"/>
        <v/>
      </c>
      <c r="W284" s="29" t="str">
        <f t="shared" si="49"/>
        <v/>
      </c>
      <c r="X284" s="30" t="str">
        <f t="shared" si="50"/>
        <v/>
      </c>
      <c r="Y284" s="36"/>
      <c r="Z284" s="37"/>
      <c r="AA284" s="37"/>
      <c r="JG284" s="31" t="str">
        <f t="shared" si="51"/>
        <v/>
      </c>
      <c r="JH284" s="31" t="str">
        <f t="shared" si="52"/>
        <v/>
      </c>
    </row>
    <row r="285" spans="1:268" s="31" customFormat="1" x14ac:dyDescent="0.4">
      <c r="A285" s="32"/>
      <c r="B285" s="32"/>
      <c r="C285" s="32"/>
      <c r="D285" s="32"/>
      <c r="E285" s="38"/>
      <c r="F285" s="61"/>
      <c r="G285" s="33"/>
      <c r="H285" s="33"/>
      <c r="I285" s="27" t="str">
        <f t="shared" si="46"/>
        <v/>
      </c>
      <c r="J285" s="33"/>
      <c r="K285" s="28">
        <f t="shared" si="44"/>
        <v>0</v>
      </c>
      <c r="L285" s="28">
        <f>IF(AND($Y285&lt;&gt;"",$X285&lt;&gt;""),MAX(0,ROUND(($X285*$Y285),0)-NETWORKDAYS.INTL($V285,基準日,1)),0)</f>
        <v>0</v>
      </c>
      <c r="M285" s="28">
        <f t="shared" ca="1" si="45"/>
        <v>0</v>
      </c>
      <c r="N285" s="28">
        <f t="shared" ca="1" si="47"/>
        <v>0</v>
      </c>
      <c r="O285" s="34"/>
      <c r="P285" s="34"/>
      <c r="Q285" s="71" t="str" cm="1">
        <f t="array" ref="Q285">IF(SUMPRODUCT(--(B285:E285&lt;&gt;""))&gt;0,"○","")</f>
        <v/>
      </c>
      <c r="R285" s="35"/>
      <c r="S285" s="35"/>
      <c r="T285" s="35"/>
      <c r="U285" s="66"/>
      <c r="V285" s="29" t="str">
        <f t="shared" si="48"/>
        <v/>
      </c>
      <c r="W285" s="29" t="str">
        <f t="shared" si="49"/>
        <v/>
      </c>
      <c r="X285" s="30" t="str">
        <f t="shared" si="50"/>
        <v/>
      </c>
      <c r="Y285" s="36"/>
      <c r="Z285" s="37"/>
      <c r="AA285" s="37"/>
      <c r="JG285" s="31" t="str">
        <f t="shared" si="51"/>
        <v/>
      </c>
      <c r="JH285" s="31" t="str">
        <f t="shared" si="52"/>
        <v/>
      </c>
    </row>
    <row r="286" spans="1:268" s="31" customFormat="1" x14ac:dyDescent="0.4">
      <c r="A286" s="32"/>
      <c r="B286" s="32"/>
      <c r="C286" s="32"/>
      <c r="D286" s="32"/>
      <c r="E286" s="38"/>
      <c r="F286" s="61"/>
      <c r="G286" s="33"/>
      <c r="H286" s="33"/>
      <c r="I286" s="27" t="str">
        <f t="shared" si="46"/>
        <v/>
      </c>
      <c r="J286" s="33"/>
      <c r="K286" s="28">
        <f t="shared" si="44"/>
        <v>0</v>
      </c>
      <c r="L286" s="28">
        <f>IF(AND($Y286&lt;&gt;"",$X286&lt;&gt;""),MAX(0,ROUND(($X286*$Y286),0)-NETWORKDAYS.INTL($V286,基準日,1)),0)</f>
        <v>0</v>
      </c>
      <c r="M286" s="28">
        <f t="shared" ca="1" si="45"/>
        <v>0</v>
      </c>
      <c r="N286" s="28">
        <f t="shared" ca="1" si="47"/>
        <v>0</v>
      </c>
      <c r="O286" s="34"/>
      <c r="P286" s="34"/>
      <c r="Q286" s="71" t="str" cm="1">
        <f t="array" ref="Q286">IF(SUMPRODUCT(--(B286:E286&lt;&gt;""))&gt;0,"○","")</f>
        <v/>
      </c>
      <c r="R286" s="35"/>
      <c r="S286" s="35"/>
      <c r="T286" s="35"/>
      <c r="U286" s="66"/>
      <c r="V286" s="29" t="str">
        <f t="shared" si="48"/>
        <v/>
      </c>
      <c r="W286" s="29" t="str">
        <f t="shared" si="49"/>
        <v/>
      </c>
      <c r="X286" s="30" t="str">
        <f t="shared" si="50"/>
        <v/>
      </c>
      <c r="Y286" s="36"/>
      <c r="Z286" s="37"/>
      <c r="AA286" s="37"/>
      <c r="JG286" s="31" t="str">
        <f t="shared" si="51"/>
        <v/>
      </c>
      <c r="JH286" s="31" t="str">
        <f t="shared" si="52"/>
        <v/>
      </c>
    </row>
    <row r="287" spans="1:268" s="31" customFormat="1" x14ac:dyDescent="0.4">
      <c r="A287" s="32"/>
      <c r="B287" s="32"/>
      <c r="C287" s="32"/>
      <c r="D287" s="32"/>
      <c r="E287" s="38"/>
      <c r="F287" s="61"/>
      <c r="G287" s="33"/>
      <c r="H287" s="33"/>
      <c r="I287" s="27" t="str">
        <f t="shared" si="46"/>
        <v/>
      </c>
      <c r="J287" s="33"/>
      <c r="K287" s="28">
        <f t="shared" si="44"/>
        <v>0</v>
      </c>
      <c r="L287" s="28">
        <f>IF(AND($Y287&lt;&gt;"",$X287&lt;&gt;""),MAX(0,ROUND(($X287*$Y287),0)-NETWORKDAYS.INTL($V287,基準日,1)),0)</f>
        <v>0</v>
      </c>
      <c r="M287" s="28">
        <f t="shared" ca="1" si="45"/>
        <v>0</v>
      </c>
      <c r="N287" s="28">
        <f t="shared" ca="1" si="47"/>
        <v>0</v>
      </c>
      <c r="O287" s="34"/>
      <c r="P287" s="34"/>
      <c r="Q287" s="71" t="str" cm="1">
        <f t="array" ref="Q287">IF(SUMPRODUCT(--(B287:E287&lt;&gt;""))&gt;0,"○","")</f>
        <v/>
      </c>
      <c r="R287" s="35"/>
      <c r="S287" s="35"/>
      <c r="T287" s="35"/>
      <c r="U287" s="66"/>
      <c r="V287" s="29" t="str">
        <f t="shared" si="48"/>
        <v/>
      </c>
      <c r="W287" s="29" t="str">
        <f t="shared" si="49"/>
        <v/>
      </c>
      <c r="X287" s="30" t="str">
        <f t="shared" si="50"/>
        <v/>
      </c>
      <c r="Y287" s="36"/>
      <c r="Z287" s="37"/>
      <c r="AA287" s="37"/>
      <c r="JG287" s="31" t="str">
        <f t="shared" si="51"/>
        <v/>
      </c>
      <c r="JH287" s="31" t="str">
        <f t="shared" si="52"/>
        <v/>
      </c>
    </row>
    <row r="288" spans="1:268" s="31" customFormat="1" x14ac:dyDescent="0.4">
      <c r="A288" s="32"/>
      <c r="B288" s="32"/>
      <c r="C288" s="32"/>
      <c r="D288" s="32"/>
      <c r="E288" s="38"/>
      <c r="F288" s="61"/>
      <c r="G288" s="33"/>
      <c r="H288" s="33"/>
      <c r="I288" s="27" t="str">
        <f t="shared" si="46"/>
        <v/>
      </c>
      <c r="J288" s="33"/>
      <c r="K288" s="28">
        <f t="shared" si="44"/>
        <v>0</v>
      </c>
      <c r="L288" s="28">
        <f>IF(AND($Y288&lt;&gt;"",$X288&lt;&gt;""),MAX(0,ROUND(($X288*$Y288),0)-NETWORKDAYS.INTL($V288,基準日,1)),0)</f>
        <v>0</v>
      </c>
      <c r="M288" s="28">
        <f t="shared" ca="1" si="45"/>
        <v>0</v>
      </c>
      <c r="N288" s="28">
        <f t="shared" ca="1" si="47"/>
        <v>0</v>
      </c>
      <c r="O288" s="34"/>
      <c r="P288" s="34"/>
      <c r="Q288" s="71" t="str" cm="1">
        <f t="array" ref="Q288">IF(SUMPRODUCT(--(B288:E288&lt;&gt;""))&gt;0,"○","")</f>
        <v/>
      </c>
      <c r="R288" s="35"/>
      <c r="S288" s="35"/>
      <c r="T288" s="35"/>
      <c r="U288" s="66"/>
      <c r="V288" s="29" t="str">
        <f t="shared" si="48"/>
        <v/>
      </c>
      <c r="W288" s="29" t="str">
        <f t="shared" si="49"/>
        <v/>
      </c>
      <c r="X288" s="30" t="str">
        <f t="shared" si="50"/>
        <v/>
      </c>
      <c r="Y288" s="36"/>
      <c r="Z288" s="37"/>
      <c r="AA288" s="37"/>
      <c r="JG288" s="31" t="str">
        <f t="shared" si="51"/>
        <v/>
      </c>
      <c r="JH288" s="31" t="str">
        <f t="shared" si="52"/>
        <v/>
      </c>
    </row>
    <row r="289" spans="1:268" s="31" customFormat="1" x14ac:dyDescent="0.4">
      <c r="A289" s="32"/>
      <c r="B289" s="32"/>
      <c r="C289" s="32"/>
      <c r="D289" s="32"/>
      <c r="E289" s="38"/>
      <c r="F289" s="61"/>
      <c r="G289" s="33"/>
      <c r="H289" s="33"/>
      <c r="I289" s="27" t="str">
        <f t="shared" si="46"/>
        <v/>
      </c>
      <c r="J289" s="33"/>
      <c r="K289" s="28">
        <f t="shared" si="44"/>
        <v>0</v>
      </c>
      <c r="L289" s="28">
        <f>IF(AND($Y289&lt;&gt;"",$X289&lt;&gt;""),MAX(0,ROUND(($X289*$Y289),0)-NETWORKDAYS.INTL($V289,基準日,1)),0)</f>
        <v>0</v>
      </c>
      <c r="M289" s="28">
        <f t="shared" ca="1" si="45"/>
        <v>0</v>
      </c>
      <c r="N289" s="28">
        <f t="shared" ca="1" si="47"/>
        <v>0</v>
      </c>
      <c r="O289" s="34"/>
      <c r="P289" s="34"/>
      <c r="Q289" s="71" t="str" cm="1">
        <f t="array" ref="Q289">IF(SUMPRODUCT(--(B289:E289&lt;&gt;""))&gt;0,"○","")</f>
        <v/>
      </c>
      <c r="R289" s="35"/>
      <c r="S289" s="35"/>
      <c r="T289" s="35"/>
      <c r="U289" s="66"/>
      <c r="V289" s="29" t="str">
        <f t="shared" si="48"/>
        <v/>
      </c>
      <c r="W289" s="29" t="str">
        <f t="shared" si="49"/>
        <v/>
      </c>
      <c r="X289" s="30" t="str">
        <f t="shared" si="50"/>
        <v/>
      </c>
      <c r="Y289" s="36"/>
      <c r="Z289" s="37"/>
      <c r="AA289" s="37"/>
      <c r="JG289" s="31" t="str">
        <f t="shared" si="51"/>
        <v/>
      </c>
      <c r="JH289" s="31" t="str">
        <f t="shared" si="52"/>
        <v/>
      </c>
    </row>
    <row r="290" spans="1:268" s="31" customFormat="1" x14ac:dyDescent="0.4">
      <c r="A290" s="32"/>
      <c r="B290" s="32"/>
      <c r="C290" s="32"/>
      <c r="D290" s="32"/>
      <c r="E290" s="38"/>
      <c r="F290" s="61"/>
      <c r="G290" s="33"/>
      <c r="H290" s="33"/>
      <c r="I290" s="27" t="str">
        <f t="shared" si="46"/>
        <v/>
      </c>
      <c r="J290" s="33"/>
      <c r="K290" s="28">
        <f t="shared" si="44"/>
        <v>0</v>
      </c>
      <c r="L290" s="28">
        <f>IF(AND($Y290&lt;&gt;"",$X290&lt;&gt;""),MAX(0,ROUND(($X290*$Y290),0)-NETWORKDAYS.INTL($V290,基準日,1)),0)</f>
        <v>0</v>
      </c>
      <c r="M290" s="28">
        <f t="shared" ca="1" si="45"/>
        <v>0</v>
      </c>
      <c r="N290" s="28">
        <f t="shared" ca="1" si="47"/>
        <v>0</v>
      </c>
      <c r="O290" s="34"/>
      <c r="P290" s="34"/>
      <c r="Q290" s="71" t="str" cm="1">
        <f t="array" ref="Q290">IF(SUMPRODUCT(--(B290:E290&lt;&gt;""))&gt;0,"○","")</f>
        <v/>
      </c>
      <c r="R290" s="35"/>
      <c r="S290" s="35"/>
      <c r="T290" s="35"/>
      <c r="U290" s="66"/>
      <c r="V290" s="29" t="str">
        <f t="shared" si="48"/>
        <v/>
      </c>
      <c r="W290" s="29" t="str">
        <f t="shared" si="49"/>
        <v/>
      </c>
      <c r="X290" s="30" t="str">
        <f t="shared" si="50"/>
        <v/>
      </c>
      <c r="Y290" s="36"/>
      <c r="Z290" s="37"/>
      <c r="AA290" s="37"/>
      <c r="JG290" s="31" t="str">
        <f t="shared" si="51"/>
        <v/>
      </c>
      <c r="JH290" s="31" t="str">
        <f t="shared" si="52"/>
        <v/>
      </c>
    </row>
    <row r="291" spans="1:268" s="31" customFormat="1" x14ac:dyDescent="0.4">
      <c r="A291" s="32"/>
      <c r="B291" s="32"/>
      <c r="C291" s="32"/>
      <c r="D291" s="32"/>
      <c r="E291" s="38"/>
      <c r="F291" s="61"/>
      <c r="G291" s="33"/>
      <c r="H291" s="33"/>
      <c r="I291" s="27" t="str">
        <f t="shared" si="46"/>
        <v/>
      </c>
      <c r="J291" s="33"/>
      <c r="K291" s="28">
        <f t="shared" si="44"/>
        <v>0</v>
      </c>
      <c r="L291" s="28">
        <f>IF(AND($Y291&lt;&gt;"",$X291&lt;&gt;""),MAX(0,ROUND(($X291*$Y291),0)-NETWORKDAYS.INTL($V291,基準日,1)),0)</f>
        <v>0</v>
      </c>
      <c r="M291" s="28">
        <f t="shared" ca="1" si="45"/>
        <v>0</v>
      </c>
      <c r="N291" s="28">
        <f t="shared" ca="1" si="47"/>
        <v>0</v>
      </c>
      <c r="O291" s="34"/>
      <c r="P291" s="34"/>
      <c r="Q291" s="71" t="str" cm="1">
        <f t="array" ref="Q291">IF(SUMPRODUCT(--(B291:E291&lt;&gt;""))&gt;0,"○","")</f>
        <v/>
      </c>
      <c r="R291" s="35"/>
      <c r="S291" s="35"/>
      <c r="T291" s="35"/>
      <c r="U291" s="66"/>
      <c r="V291" s="29" t="str">
        <f t="shared" si="48"/>
        <v/>
      </c>
      <c r="W291" s="29" t="str">
        <f t="shared" si="49"/>
        <v/>
      </c>
      <c r="X291" s="30" t="str">
        <f t="shared" si="50"/>
        <v/>
      </c>
      <c r="Y291" s="36"/>
      <c r="Z291" s="37"/>
      <c r="AA291" s="37"/>
      <c r="JG291" s="31" t="str">
        <f t="shared" si="51"/>
        <v/>
      </c>
      <c r="JH291" s="31" t="str">
        <f t="shared" si="52"/>
        <v/>
      </c>
    </row>
    <row r="292" spans="1:268" s="31" customFormat="1" x14ac:dyDescent="0.4">
      <c r="A292" s="32"/>
      <c r="B292" s="32"/>
      <c r="C292" s="32"/>
      <c r="D292" s="32"/>
      <c r="E292" s="38"/>
      <c r="F292" s="61"/>
      <c r="G292" s="33"/>
      <c r="H292" s="33"/>
      <c r="I292" s="27" t="str">
        <f t="shared" si="46"/>
        <v/>
      </c>
      <c r="J292" s="33"/>
      <c r="K292" s="28">
        <f t="shared" si="44"/>
        <v>0</v>
      </c>
      <c r="L292" s="28">
        <f>IF(AND($Y292&lt;&gt;"",$X292&lt;&gt;""),MAX(0,ROUND(($X292*$Y292),0)-NETWORKDAYS.INTL($V292,基準日,1)),0)</f>
        <v>0</v>
      </c>
      <c r="M292" s="28">
        <f t="shared" ca="1" si="45"/>
        <v>0</v>
      </c>
      <c r="N292" s="28">
        <f t="shared" ca="1" si="47"/>
        <v>0</v>
      </c>
      <c r="O292" s="34"/>
      <c r="P292" s="34"/>
      <c r="Q292" s="71" t="str" cm="1">
        <f t="array" ref="Q292">IF(SUMPRODUCT(--(B292:E292&lt;&gt;""))&gt;0,"○","")</f>
        <v/>
      </c>
      <c r="R292" s="35"/>
      <c r="S292" s="35"/>
      <c r="T292" s="35"/>
      <c r="U292" s="66"/>
      <c r="V292" s="29" t="str">
        <f t="shared" si="48"/>
        <v/>
      </c>
      <c r="W292" s="29" t="str">
        <f t="shared" si="49"/>
        <v/>
      </c>
      <c r="X292" s="30" t="str">
        <f t="shared" si="50"/>
        <v/>
      </c>
      <c r="Y292" s="36"/>
      <c r="Z292" s="37"/>
      <c r="AA292" s="37"/>
      <c r="JG292" s="31" t="str">
        <f t="shared" si="51"/>
        <v/>
      </c>
      <c r="JH292" s="31" t="str">
        <f t="shared" si="52"/>
        <v/>
      </c>
    </row>
    <row r="293" spans="1:268" s="31" customFormat="1" x14ac:dyDescent="0.4">
      <c r="A293" s="32"/>
      <c r="B293" s="32"/>
      <c r="C293" s="32"/>
      <c r="D293" s="32"/>
      <c r="E293" s="38"/>
      <c r="F293" s="61"/>
      <c r="G293" s="33"/>
      <c r="H293" s="33"/>
      <c r="I293" s="27" t="str">
        <f t="shared" si="46"/>
        <v/>
      </c>
      <c r="J293" s="33"/>
      <c r="K293" s="28">
        <f t="shared" si="44"/>
        <v>0</v>
      </c>
      <c r="L293" s="28">
        <f>IF(AND($Y293&lt;&gt;"",$X293&lt;&gt;""),MAX(0,ROUND(($X293*$Y293),0)-NETWORKDAYS.INTL($V293,基準日,1)),0)</f>
        <v>0</v>
      </c>
      <c r="M293" s="28">
        <f t="shared" ca="1" si="45"/>
        <v>0</v>
      </c>
      <c r="N293" s="28">
        <f t="shared" ca="1" si="47"/>
        <v>0</v>
      </c>
      <c r="O293" s="34"/>
      <c r="P293" s="34"/>
      <c r="Q293" s="71" t="str" cm="1">
        <f t="array" ref="Q293">IF(SUMPRODUCT(--(B293:E293&lt;&gt;""))&gt;0,"○","")</f>
        <v/>
      </c>
      <c r="R293" s="35"/>
      <c r="S293" s="35"/>
      <c r="T293" s="35"/>
      <c r="U293" s="66"/>
      <c r="V293" s="29" t="str">
        <f t="shared" si="48"/>
        <v/>
      </c>
      <c r="W293" s="29" t="str">
        <f t="shared" si="49"/>
        <v/>
      </c>
      <c r="X293" s="30" t="str">
        <f t="shared" si="50"/>
        <v/>
      </c>
      <c r="Y293" s="36"/>
      <c r="Z293" s="37"/>
      <c r="AA293" s="37"/>
      <c r="JG293" s="31" t="str">
        <f t="shared" si="51"/>
        <v/>
      </c>
      <c r="JH293" s="31" t="str">
        <f t="shared" si="52"/>
        <v/>
      </c>
    </row>
    <row r="294" spans="1:268" s="31" customFormat="1" x14ac:dyDescent="0.4">
      <c r="A294" s="32"/>
      <c r="B294" s="32"/>
      <c r="C294" s="32"/>
      <c r="D294" s="32"/>
      <c r="E294" s="38"/>
      <c r="F294" s="61"/>
      <c r="G294" s="33"/>
      <c r="H294" s="33"/>
      <c r="I294" s="27" t="str">
        <f t="shared" si="46"/>
        <v/>
      </c>
      <c r="J294" s="33"/>
      <c r="K294" s="28">
        <f t="shared" si="44"/>
        <v>0</v>
      </c>
      <c r="L294" s="28">
        <f>IF(AND($Y294&lt;&gt;"",$X294&lt;&gt;""),MAX(0,ROUND(($X294*$Y294),0)-NETWORKDAYS.INTL($V294,基準日,1)),0)</f>
        <v>0</v>
      </c>
      <c r="M294" s="28">
        <f t="shared" ca="1" si="45"/>
        <v>0</v>
      </c>
      <c r="N294" s="28">
        <f t="shared" ca="1" si="47"/>
        <v>0</v>
      </c>
      <c r="O294" s="34"/>
      <c r="P294" s="34"/>
      <c r="Q294" s="71" t="str" cm="1">
        <f t="array" ref="Q294">IF(SUMPRODUCT(--(B294:E294&lt;&gt;""))&gt;0,"○","")</f>
        <v/>
      </c>
      <c r="R294" s="35"/>
      <c r="S294" s="35"/>
      <c r="T294" s="35"/>
      <c r="U294" s="66"/>
      <c r="V294" s="29" t="str">
        <f t="shared" si="48"/>
        <v/>
      </c>
      <c r="W294" s="29" t="str">
        <f t="shared" si="49"/>
        <v/>
      </c>
      <c r="X294" s="30" t="str">
        <f t="shared" si="50"/>
        <v/>
      </c>
      <c r="Y294" s="36"/>
      <c r="Z294" s="37"/>
      <c r="AA294" s="37"/>
      <c r="JG294" s="31" t="str">
        <f t="shared" si="51"/>
        <v/>
      </c>
      <c r="JH294" s="31" t="str">
        <f t="shared" si="52"/>
        <v/>
      </c>
    </row>
    <row r="295" spans="1:268" s="31" customFormat="1" x14ac:dyDescent="0.4">
      <c r="A295" s="32"/>
      <c r="B295" s="32"/>
      <c r="C295" s="32"/>
      <c r="D295" s="32"/>
      <c r="E295" s="38"/>
      <c r="F295" s="61"/>
      <c r="G295" s="33"/>
      <c r="H295" s="33"/>
      <c r="I295" s="27" t="str">
        <f t="shared" si="46"/>
        <v/>
      </c>
      <c r="J295" s="33"/>
      <c r="K295" s="28">
        <f t="shared" si="44"/>
        <v>0</v>
      </c>
      <c r="L295" s="28">
        <f>IF(AND($Y295&lt;&gt;"",$X295&lt;&gt;""),MAX(0,ROUND(($X295*$Y295),0)-NETWORKDAYS.INTL($V295,基準日,1)),0)</f>
        <v>0</v>
      </c>
      <c r="M295" s="28">
        <f t="shared" ca="1" si="45"/>
        <v>0</v>
      </c>
      <c r="N295" s="28">
        <f t="shared" ca="1" si="47"/>
        <v>0</v>
      </c>
      <c r="O295" s="34"/>
      <c r="P295" s="34"/>
      <c r="Q295" s="71" t="str" cm="1">
        <f t="array" ref="Q295">IF(SUMPRODUCT(--(B295:E295&lt;&gt;""))&gt;0,"○","")</f>
        <v/>
      </c>
      <c r="R295" s="35"/>
      <c r="S295" s="35"/>
      <c r="T295" s="35"/>
      <c r="U295" s="66"/>
      <c r="V295" s="29" t="str">
        <f t="shared" si="48"/>
        <v/>
      </c>
      <c r="W295" s="29" t="str">
        <f t="shared" si="49"/>
        <v/>
      </c>
      <c r="X295" s="30" t="str">
        <f t="shared" si="50"/>
        <v/>
      </c>
      <c r="Y295" s="36"/>
      <c r="Z295" s="37"/>
      <c r="AA295" s="37"/>
      <c r="JG295" s="31" t="str">
        <f t="shared" si="51"/>
        <v/>
      </c>
      <c r="JH295" s="31" t="str">
        <f t="shared" si="52"/>
        <v/>
      </c>
    </row>
    <row r="296" spans="1:268" s="31" customFormat="1" x14ac:dyDescent="0.4">
      <c r="A296" s="32"/>
      <c r="B296" s="32"/>
      <c r="C296" s="32"/>
      <c r="D296" s="32"/>
      <c r="E296" s="38"/>
      <c r="F296" s="61"/>
      <c r="G296" s="33"/>
      <c r="H296" s="33"/>
      <c r="I296" s="27" t="str">
        <f t="shared" si="46"/>
        <v/>
      </c>
      <c r="J296" s="33"/>
      <c r="K296" s="28">
        <f t="shared" si="44"/>
        <v>0</v>
      </c>
      <c r="L296" s="28">
        <f>IF(AND($Y296&lt;&gt;"",$X296&lt;&gt;""),MAX(0,ROUND(($X296*$Y296),0)-NETWORKDAYS.INTL($V296,基準日,1)),0)</f>
        <v>0</v>
      </c>
      <c r="M296" s="28">
        <f t="shared" ca="1" si="45"/>
        <v>0</v>
      </c>
      <c r="N296" s="28">
        <f t="shared" ca="1" si="47"/>
        <v>0</v>
      </c>
      <c r="O296" s="34"/>
      <c r="P296" s="34"/>
      <c r="Q296" s="71" t="str" cm="1">
        <f t="array" ref="Q296">IF(SUMPRODUCT(--(B296:E296&lt;&gt;""))&gt;0,"○","")</f>
        <v/>
      </c>
      <c r="R296" s="35"/>
      <c r="S296" s="35"/>
      <c r="T296" s="35"/>
      <c r="U296" s="66"/>
      <c r="V296" s="29" t="str">
        <f t="shared" si="48"/>
        <v/>
      </c>
      <c r="W296" s="29" t="str">
        <f t="shared" si="49"/>
        <v/>
      </c>
      <c r="X296" s="30" t="str">
        <f t="shared" si="50"/>
        <v/>
      </c>
      <c r="Y296" s="36"/>
      <c r="Z296" s="37"/>
      <c r="AA296" s="37"/>
      <c r="JG296" s="31" t="str">
        <f t="shared" si="51"/>
        <v/>
      </c>
      <c r="JH296" s="31" t="str">
        <f t="shared" si="52"/>
        <v/>
      </c>
    </row>
    <row r="297" spans="1:268" s="31" customFormat="1" x14ac:dyDescent="0.4">
      <c r="A297" s="32"/>
      <c r="B297" s="32"/>
      <c r="C297" s="32"/>
      <c r="D297" s="32"/>
      <c r="E297" s="38"/>
      <c r="F297" s="61"/>
      <c r="G297" s="33"/>
      <c r="H297" s="33"/>
      <c r="I297" s="27" t="str">
        <f t="shared" si="46"/>
        <v/>
      </c>
      <c r="J297" s="33"/>
      <c r="K297" s="28">
        <f t="shared" si="44"/>
        <v>0</v>
      </c>
      <c r="L297" s="28">
        <f>IF(AND($Y297&lt;&gt;"",$X297&lt;&gt;""),MAX(0,ROUND(($X297*$Y297),0)-NETWORKDAYS.INTL($V297,基準日,1)),0)</f>
        <v>0</v>
      </c>
      <c r="M297" s="28">
        <f t="shared" ca="1" si="45"/>
        <v>0</v>
      </c>
      <c r="N297" s="28">
        <f t="shared" ca="1" si="47"/>
        <v>0</v>
      </c>
      <c r="O297" s="34"/>
      <c r="P297" s="34"/>
      <c r="Q297" s="71" t="str" cm="1">
        <f t="array" ref="Q297">IF(SUMPRODUCT(--(B297:E297&lt;&gt;""))&gt;0,"○","")</f>
        <v/>
      </c>
      <c r="R297" s="35"/>
      <c r="S297" s="35"/>
      <c r="T297" s="35"/>
      <c r="U297" s="66"/>
      <c r="V297" s="29" t="str">
        <f t="shared" si="48"/>
        <v/>
      </c>
      <c r="W297" s="29" t="str">
        <f t="shared" si="49"/>
        <v/>
      </c>
      <c r="X297" s="30" t="str">
        <f t="shared" si="50"/>
        <v/>
      </c>
      <c r="Y297" s="36"/>
      <c r="Z297" s="37"/>
      <c r="AA297" s="37"/>
      <c r="JG297" s="31" t="str">
        <f t="shared" si="51"/>
        <v/>
      </c>
      <c r="JH297" s="31" t="str">
        <f t="shared" si="52"/>
        <v/>
      </c>
    </row>
    <row r="298" spans="1:268" s="31" customFormat="1" x14ac:dyDescent="0.4">
      <c r="A298" s="32"/>
      <c r="B298" s="32"/>
      <c r="C298" s="32"/>
      <c r="D298" s="32"/>
      <c r="E298" s="38"/>
      <c r="F298" s="61"/>
      <c r="G298" s="33"/>
      <c r="H298" s="33"/>
      <c r="I298" s="27" t="str">
        <f t="shared" si="46"/>
        <v/>
      </c>
      <c r="J298" s="33"/>
      <c r="K298" s="28">
        <f t="shared" si="44"/>
        <v>0</v>
      </c>
      <c r="L298" s="28">
        <f>IF(AND($Y298&lt;&gt;"",$X298&lt;&gt;""),MAX(0,ROUND(($X298*$Y298),0)-NETWORKDAYS.INTL($V298,基準日,1)),0)</f>
        <v>0</v>
      </c>
      <c r="M298" s="28">
        <f t="shared" ca="1" si="45"/>
        <v>0</v>
      </c>
      <c r="N298" s="28">
        <f t="shared" ca="1" si="47"/>
        <v>0</v>
      </c>
      <c r="O298" s="34"/>
      <c r="P298" s="34"/>
      <c r="Q298" s="71" t="str" cm="1">
        <f t="array" ref="Q298">IF(SUMPRODUCT(--(B298:E298&lt;&gt;""))&gt;0,"○","")</f>
        <v/>
      </c>
      <c r="R298" s="35"/>
      <c r="S298" s="35"/>
      <c r="T298" s="35"/>
      <c r="U298" s="66"/>
      <c r="V298" s="29" t="str">
        <f t="shared" si="48"/>
        <v/>
      </c>
      <c r="W298" s="29" t="str">
        <f t="shared" si="49"/>
        <v/>
      </c>
      <c r="X298" s="30" t="str">
        <f t="shared" si="50"/>
        <v/>
      </c>
      <c r="Y298" s="36"/>
      <c r="Z298" s="37"/>
      <c r="AA298" s="37"/>
      <c r="JG298" s="31" t="str">
        <f t="shared" si="51"/>
        <v/>
      </c>
      <c r="JH298" s="31" t="str">
        <f t="shared" si="52"/>
        <v/>
      </c>
    </row>
    <row r="299" spans="1:268" s="31" customFormat="1" x14ac:dyDescent="0.4">
      <c r="A299" s="32"/>
      <c r="B299" s="32"/>
      <c r="C299" s="32"/>
      <c r="D299" s="32"/>
      <c r="E299" s="38"/>
      <c r="F299" s="61"/>
      <c r="G299" s="33"/>
      <c r="H299" s="33"/>
      <c r="I299" s="27" t="str">
        <f t="shared" si="46"/>
        <v/>
      </c>
      <c r="J299" s="33"/>
      <c r="K299" s="28">
        <f t="shared" si="44"/>
        <v>0</v>
      </c>
      <c r="L299" s="28">
        <f>IF(AND($Y299&lt;&gt;"",$X299&lt;&gt;""),MAX(0,ROUND(($X299*$Y299),0)-NETWORKDAYS.INTL($V299,基準日,1)),0)</f>
        <v>0</v>
      </c>
      <c r="M299" s="28">
        <f t="shared" ca="1" si="45"/>
        <v>0</v>
      </c>
      <c r="N299" s="28">
        <f t="shared" ca="1" si="47"/>
        <v>0</v>
      </c>
      <c r="O299" s="34"/>
      <c r="P299" s="34"/>
      <c r="Q299" s="71" t="str" cm="1">
        <f t="array" ref="Q299">IF(SUMPRODUCT(--(B299:E299&lt;&gt;""))&gt;0,"○","")</f>
        <v/>
      </c>
      <c r="R299" s="35"/>
      <c r="S299" s="35"/>
      <c r="T299" s="35"/>
      <c r="U299" s="66"/>
      <c r="V299" s="29" t="str">
        <f t="shared" si="48"/>
        <v/>
      </c>
      <c r="W299" s="29" t="str">
        <f t="shared" si="49"/>
        <v/>
      </c>
      <c r="X299" s="30" t="str">
        <f t="shared" si="50"/>
        <v/>
      </c>
      <c r="Y299" s="36"/>
      <c r="Z299" s="37"/>
      <c r="AA299" s="37"/>
      <c r="JG299" s="31" t="str">
        <f t="shared" si="51"/>
        <v/>
      </c>
      <c r="JH299" s="31" t="str">
        <f t="shared" si="52"/>
        <v/>
      </c>
    </row>
    <row r="300" spans="1:268" s="31" customFormat="1" x14ac:dyDescent="0.4">
      <c r="A300" s="32"/>
      <c r="B300" s="32"/>
      <c r="C300" s="32"/>
      <c r="D300" s="32"/>
      <c r="E300" s="38"/>
      <c r="F300" s="61"/>
      <c r="G300" s="33"/>
      <c r="H300" s="33"/>
      <c r="I300" s="27" t="str">
        <f t="shared" si="46"/>
        <v/>
      </c>
      <c r="J300" s="33"/>
      <c r="K300" s="28">
        <f t="shared" si="44"/>
        <v>0</v>
      </c>
      <c r="L300" s="28">
        <f>IF(AND($Y300&lt;&gt;"",$X300&lt;&gt;""),MAX(0,ROUND(($X300*$Y300),0)-NETWORKDAYS.INTL($V300,基準日,1)),0)</f>
        <v>0</v>
      </c>
      <c r="M300" s="28">
        <f t="shared" ca="1" si="45"/>
        <v>0</v>
      </c>
      <c r="N300" s="28">
        <f t="shared" ca="1" si="47"/>
        <v>0</v>
      </c>
      <c r="O300" s="34"/>
      <c r="P300" s="34"/>
      <c r="Q300" s="71" t="str" cm="1">
        <f t="array" ref="Q300">IF(SUMPRODUCT(--(B300:E300&lt;&gt;""))&gt;0,"○","")</f>
        <v/>
      </c>
      <c r="R300" s="35"/>
      <c r="S300" s="35"/>
      <c r="T300" s="35"/>
      <c r="U300" s="66"/>
      <c r="V300" s="29" t="str">
        <f t="shared" si="48"/>
        <v/>
      </c>
      <c r="W300" s="29" t="str">
        <f t="shared" si="49"/>
        <v/>
      </c>
      <c r="X300" s="30" t="str">
        <f t="shared" si="50"/>
        <v/>
      </c>
      <c r="Y300" s="36"/>
      <c r="Z300" s="37"/>
      <c r="AA300" s="37"/>
      <c r="JG300" s="31" t="str">
        <f t="shared" si="51"/>
        <v/>
      </c>
      <c r="JH300" s="31" t="str">
        <f t="shared" si="52"/>
        <v/>
      </c>
    </row>
    <row r="301" spans="1:268" s="31" customFormat="1" x14ac:dyDescent="0.4">
      <c r="A301" s="32"/>
      <c r="B301" s="32"/>
      <c r="C301" s="32"/>
      <c r="D301" s="32"/>
      <c r="E301" s="38"/>
      <c r="F301" s="61"/>
      <c r="G301" s="33"/>
      <c r="H301" s="33"/>
      <c r="I301" s="27" t="str">
        <f t="shared" si="46"/>
        <v/>
      </c>
      <c r="J301" s="33"/>
      <c r="K301" s="28">
        <f t="shared" si="44"/>
        <v>0</v>
      </c>
      <c r="L301" s="28">
        <f>IF(AND($Y301&lt;&gt;"",$X301&lt;&gt;""),MAX(0,ROUND(($X301*$Y301),0)-NETWORKDAYS.INTL($V301,基準日,1)),0)</f>
        <v>0</v>
      </c>
      <c r="M301" s="28">
        <f t="shared" ca="1" si="45"/>
        <v>0</v>
      </c>
      <c r="N301" s="28">
        <f t="shared" ca="1" si="47"/>
        <v>0</v>
      </c>
      <c r="O301" s="34"/>
      <c r="P301" s="34"/>
      <c r="Q301" s="71" t="str" cm="1">
        <f t="array" ref="Q301">IF(SUMPRODUCT(--(B301:E301&lt;&gt;""))&gt;0,"○","")</f>
        <v/>
      </c>
      <c r="R301" s="35"/>
      <c r="S301" s="35"/>
      <c r="T301" s="35"/>
      <c r="U301" s="66"/>
      <c r="V301" s="29" t="str">
        <f t="shared" si="48"/>
        <v/>
      </c>
      <c r="W301" s="29" t="str">
        <f t="shared" si="49"/>
        <v/>
      </c>
      <c r="X301" s="30" t="str">
        <f t="shared" si="50"/>
        <v/>
      </c>
      <c r="Y301" s="36"/>
      <c r="Z301" s="37"/>
      <c r="AA301" s="37"/>
      <c r="JG301" s="31" t="str">
        <f t="shared" si="51"/>
        <v/>
      </c>
      <c r="JH301" s="31" t="str">
        <f t="shared" si="52"/>
        <v/>
      </c>
    </row>
    <row r="302" spans="1:268" s="31" customFormat="1" x14ac:dyDescent="0.4">
      <c r="A302" s="32"/>
      <c r="B302" s="32"/>
      <c r="C302" s="32"/>
      <c r="D302" s="32"/>
      <c r="E302" s="38"/>
      <c r="F302" s="61"/>
      <c r="G302" s="33"/>
      <c r="H302" s="33"/>
      <c r="I302" s="27" t="str">
        <f t="shared" si="46"/>
        <v/>
      </c>
      <c r="J302" s="33"/>
      <c r="K302" s="28">
        <f t="shared" si="44"/>
        <v>0</v>
      </c>
      <c r="L302" s="28">
        <f>IF(AND($Y302&lt;&gt;"",$X302&lt;&gt;""),MAX(0,ROUND(($X302*$Y302),0)-NETWORKDAYS.INTL($V302,基準日,1)),0)</f>
        <v>0</v>
      </c>
      <c r="M302" s="28">
        <f t="shared" ca="1" si="45"/>
        <v>0</v>
      </c>
      <c r="N302" s="28">
        <f t="shared" ca="1" si="47"/>
        <v>0</v>
      </c>
      <c r="O302" s="34"/>
      <c r="P302" s="34"/>
      <c r="Q302" s="71" t="str" cm="1">
        <f t="array" ref="Q302">IF(SUMPRODUCT(--(B302:E302&lt;&gt;""))&gt;0,"○","")</f>
        <v/>
      </c>
      <c r="R302" s="35"/>
      <c r="S302" s="35"/>
      <c r="T302" s="35"/>
      <c r="U302" s="66"/>
      <c r="V302" s="29" t="str">
        <f t="shared" si="48"/>
        <v/>
      </c>
      <c r="W302" s="29" t="str">
        <f t="shared" si="49"/>
        <v/>
      </c>
      <c r="X302" s="30" t="str">
        <f t="shared" si="50"/>
        <v/>
      </c>
      <c r="Y302" s="36"/>
      <c r="Z302" s="37"/>
      <c r="AA302" s="37"/>
      <c r="JG302" s="31" t="str">
        <f t="shared" si="51"/>
        <v/>
      </c>
      <c r="JH302" s="31" t="str">
        <f t="shared" si="52"/>
        <v/>
      </c>
    </row>
    <row r="303" spans="1:268" s="31" customFormat="1" x14ac:dyDescent="0.4">
      <c r="A303" s="32"/>
      <c r="B303" s="32"/>
      <c r="C303" s="32"/>
      <c r="D303" s="32"/>
      <c r="E303" s="38"/>
      <c r="F303" s="61"/>
      <c r="G303" s="33"/>
      <c r="H303" s="33"/>
      <c r="I303" s="27" t="str">
        <f t="shared" si="46"/>
        <v/>
      </c>
      <c r="J303" s="33"/>
      <c r="K303" s="28">
        <f t="shared" si="44"/>
        <v>0</v>
      </c>
      <c r="L303" s="28">
        <f>IF(AND($Y303&lt;&gt;"",$X303&lt;&gt;""),MAX(0,ROUND(($X303*$Y303),0)-NETWORKDAYS.INTL($V303,基準日,1)),0)</f>
        <v>0</v>
      </c>
      <c r="M303" s="28">
        <f t="shared" ca="1" si="45"/>
        <v>0</v>
      </c>
      <c r="N303" s="28">
        <f t="shared" ca="1" si="47"/>
        <v>0</v>
      </c>
      <c r="O303" s="34"/>
      <c r="P303" s="34"/>
      <c r="Q303" s="71" t="str" cm="1">
        <f t="array" ref="Q303">IF(SUMPRODUCT(--(B303:E303&lt;&gt;""))&gt;0,"○","")</f>
        <v/>
      </c>
      <c r="R303" s="35"/>
      <c r="S303" s="35"/>
      <c r="T303" s="35"/>
      <c r="U303" s="66"/>
      <c r="V303" s="29" t="str">
        <f t="shared" si="48"/>
        <v/>
      </c>
      <c r="W303" s="29" t="str">
        <f t="shared" si="49"/>
        <v/>
      </c>
      <c r="X303" s="30" t="str">
        <f t="shared" si="50"/>
        <v/>
      </c>
      <c r="Y303" s="36"/>
      <c r="Z303" s="37"/>
      <c r="AA303" s="37"/>
      <c r="JG303" s="31" t="str">
        <f t="shared" si="51"/>
        <v/>
      </c>
      <c r="JH303" s="31" t="str">
        <f t="shared" si="52"/>
        <v/>
      </c>
    </row>
    <row r="304" spans="1:268" s="31" customFormat="1" x14ac:dyDescent="0.4">
      <c r="A304" s="32"/>
      <c r="B304" s="32"/>
      <c r="C304" s="32"/>
      <c r="D304" s="32"/>
      <c r="E304" s="38"/>
      <c r="F304" s="61"/>
      <c r="G304" s="33"/>
      <c r="H304" s="33"/>
      <c r="I304" s="27" t="str">
        <f t="shared" si="46"/>
        <v/>
      </c>
      <c r="J304" s="33"/>
      <c r="K304" s="28">
        <f t="shared" si="44"/>
        <v>0</v>
      </c>
      <c r="L304" s="28">
        <f>IF(AND($Y304&lt;&gt;"",$X304&lt;&gt;""),MAX(0,ROUND(($X304*$Y304),0)-NETWORKDAYS.INTL($V304,基準日,1)),0)</f>
        <v>0</v>
      </c>
      <c r="M304" s="28">
        <f t="shared" ca="1" si="45"/>
        <v>0</v>
      </c>
      <c r="N304" s="28">
        <f t="shared" ca="1" si="47"/>
        <v>0</v>
      </c>
      <c r="O304" s="34"/>
      <c r="P304" s="34"/>
      <c r="Q304" s="71" t="str" cm="1">
        <f t="array" ref="Q304">IF(SUMPRODUCT(--(B304:E304&lt;&gt;""))&gt;0,"○","")</f>
        <v/>
      </c>
      <c r="R304" s="35"/>
      <c r="S304" s="35"/>
      <c r="T304" s="35"/>
      <c r="U304" s="66"/>
      <c r="V304" s="29" t="str">
        <f t="shared" si="48"/>
        <v/>
      </c>
      <c r="W304" s="29" t="str">
        <f t="shared" si="49"/>
        <v/>
      </c>
      <c r="X304" s="30" t="str">
        <f t="shared" si="50"/>
        <v/>
      </c>
      <c r="Y304" s="36"/>
      <c r="Z304" s="37"/>
      <c r="AA304" s="37"/>
      <c r="JG304" s="31" t="str">
        <f t="shared" si="51"/>
        <v/>
      </c>
      <c r="JH304" s="31" t="str">
        <f t="shared" si="52"/>
        <v/>
      </c>
    </row>
    <row r="305" spans="1:268" s="31" customFormat="1" x14ac:dyDescent="0.4">
      <c r="A305" s="32"/>
      <c r="B305" s="32"/>
      <c r="C305" s="32"/>
      <c r="D305" s="32"/>
      <c r="E305" s="38"/>
      <c r="F305" s="61"/>
      <c r="G305" s="33"/>
      <c r="H305" s="33"/>
      <c r="I305" s="27" t="str">
        <f t="shared" si="46"/>
        <v/>
      </c>
      <c r="J305" s="33"/>
      <c r="K305" s="28">
        <f t="shared" si="44"/>
        <v>0</v>
      </c>
      <c r="L305" s="28">
        <f>IF(AND($Y305&lt;&gt;"",$X305&lt;&gt;""),MAX(0,ROUND(($X305*$Y305),0)-NETWORKDAYS.INTL($V305,基準日,1)),0)</f>
        <v>0</v>
      </c>
      <c r="M305" s="28">
        <f t="shared" ca="1" si="45"/>
        <v>0</v>
      </c>
      <c r="N305" s="28">
        <f t="shared" ca="1" si="47"/>
        <v>0</v>
      </c>
      <c r="O305" s="34"/>
      <c r="P305" s="34"/>
      <c r="Q305" s="71" t="str" cm="1">
        <f t="array" ref="Q305">IF(SUMPRODUCT(--(B305:E305&lt;&gt;""))&gt;0,"○","")</f>
        <v/>
      </c>
      <c r="R305" s="35"/>
      <c r="S305" s="35"/>
      <c r="T305" s="35"/>
      <c r="U305" s="66"/>
      <c r="V305" s="29" t="str">
        <f t="shared" si="48"/>
        <v/>
      </c>
      <c r="W305" s="29" t="str">
        <f t="shared" si="49"/>
        <v/>
      </c>
      <c r="X305" s="30" t="str">
        <f t="shared" si="50"/>
        <v/>
      </c>
      <c r="Y305" s="36"/>
      <c r="Z305" s="37"/>
      <c r="AA305" s="37"/>
      <c r="JG305" s="31" t="str">
        <f t="shared" si="51"/>
        <v/>
      </c>
      <c r="JH305" s="31" t="str">
        <f t="shared" si="52"/>
        <v/>
      </c>
    </row>
    <row r="306" spans="1:268" s="31" customFormat="1" x14ac:dyDescent="0.4">
      <c r="A306" s="32"/>
      <c r="B306" s="32"/>
      <c r="C306" s="32"/>
      <c r="D306" s="32"/>
      <c r="E306" s="38"/>
      <c r="F306" s="61"/>
      <c r="G306" s="33"/>
      <c r="H306" s="33"/>
      <c r="I306" s="27" t="str">
        <f t="shared" si="46"/>
        <v/>
      </c>
      <c r="J306" s="33"/>
      <c r="K306" s="28">
        <f t="shared" si="44"/>
        <v>0</v>
      </c>
      <c r="L306" s="28">
        <f>IF(AND($Y306&lt;&gt;"",$X306&lt;&gt;""),MAX(0,ROUND(($X306*$Y306),0)-NETWORKDAYS.INTL($V306,基準日,1)),0)</f>
        <v>0</v>
      </c>
      <c r="M306" s="28">
        <f t="shared" ca="1" si="45"/>
        <v>0</v>
      </c>
      <c r="N306" s="28">
        <f t="shared" ca="1" si="47"/>
        <v>0</v>
      </c>
      <c r="O306" s="34"/>
      <c r="P306" s="34"/>
      <c r="Q306" s="71" t="str" cm="1">
        <f t="array" ref="Q306">IF(SUMPRODUCT(--(B306:E306&lt;&gt;""))&gt;0,"○","")</f>
        <v/>
      </c>
      <c r="R306" s="35"/>
      <c r="S306" s="35"/>
      <c r="T306" s="35"/>
      <c r="U306" s="66"/>
      <c r="V306" s="29" t="str">
        <f t="shared" si="48"/>
        <v/>
      </c>
      <c r="W306" s="29" t="str">
        <f t="shared" si="49"/>
        <v/>
      </c>
      <c r="X306" s="30" t="str">
        <f t="shared" si="50"/>
        <v/>
      </c>
      <c r="Y306" s="36"/>
      <c r="Z306" s="37"/>
      <c r="AA306" s="37"/>
      <c r="JG306" s="31" t="str">
        <f t="shared" si="51"/>
        <v/>
      </c>
      <c r="JH306" s="31" t="str">
        <f t="shared" si="52"/>
        <v/>
      </c>
    </row>
    <row r="307" spans="1:268" s="31" customFormat="1" x14ac:dyDescent="0.4">
      <c r="A307" s="32"/>
      <c r="B307" s="32"/>
      <c r="C307" s="32"/>
      <c r="D307" s="32"/>
      <c r="E307" s="38"/>
      <c r="F307" s="61"/>
      <c r="G307" s="33"/>
      <c r="H307" s="33"/>
      <c r="I307" s="27" t="str">
        <f t="shared" si="46"/>
        <v/>
      </c>
      <c r="J307" s="33"/>
      <c r="K307" s="28">
        <f t="shared" si="44"/>
        <v>0</v>
      </c>
      <c r="L307" s="28">
        <f>IF(AND($Y307&lt;&gt;"",$X307&lt;&gt;""),MAX(0,ROUND(($X307*$Y307),0)-NETWORKDAYS.INTL($V307,基準日,1)),0)</f>
        <v>0</v>
      </c>
      <c r="M307" s="28">
        <f t="shared" ca="1" si="45"/>
        <v>0</v>
      </c>
      <c r="N307" s="28">
        <f t="shared" ca="1" si="47"/>
        <v>0</v>
      </c>
      <c r="O307" s="34"/>
      <c r="P307" s="34"/>
      <c r="Q307" s="71" t="str" cm="1">
        <f t="array" ref="Q307">IF(SUMPRODUCT(--(B307:E307&lt;&gt;""))&gt;0,"○","")</f>
        <v/>
      </c>
      <c r="R307" s="35"/>
      <c r="S307" s="35"/>
      <c r="T307" s="35"/>
      <c r="U307" s="66"/>
      <c r="V307" s="29" t="str">
        <f t="shared" si="48"/>
        <v/>
      </c>
      <c r="W307" s="29" t="str">
        <f t="shared" si="49"/>
        <v/>
      </c>
      <c r="X307" s="30" t="str">
        <f t="shared" si="50"/>
        <v/>
      </c>
      <c r="Y307" s="36"/>
      <c r="Z307" s="37"/>
      <c r="AA307" s="37"/>
      <c r="JG307" s="31" t="str">
        <f t="shared" si="51"/>
        <v/>
      </c>
      <c r="JH307" s="31" t="str">
        <f t="shared" si="52"/>
        <v/>
      </c>
    </row>
    <row r="308" spans="1:268" s="31" customFormat="1" x14ac:dyDescent="0.4">
      <c r="A308" s="32"/>
      <c r="B308" s="32"/>
      <c r="C308" s="32"/>
      <c r="D308" s="32"/>
      <c r="E308" s="38"/>
      <c r="F308" s="61"/>
      <c r="G308" s="33"/>
      <c r="H308" s="33"/>
      <c r="I308" s="27" t="str">
        <f t="shared" si="46"/>
        <v/>
      </c>
      <c r="J308" s="33"/>
      <c r="K308" s="28">
        <f t="shared" si="44"/>
        <v>0</v>
      </c>
      <c r="L308" s="28">
        <f>IF(AND($Y308&lt;&gt;"",$X308&lt;&gt;""),MAX(0,ROUND(($X308*$Y308),0)-NETWORKDAYS.INTL($V308,基準日,1)),0)</f>
        <v>0</v>
      </c>
      <c r="M308" s="28">
        <f t="shared" ca="1" si="45"/>
        <v>0</v>
      </c>
      <c r="N308" s="28">
        <f t="shared" ca="1" si="47"/>
        <v>0</v>
      </c>
      <c r="O308" s="34"/>
      <c r="P308" s="34"/>
      <c r="Q308" s="71" t="str" cm="1">
        <f t="array" ref="Q308">IF(SUMPRODUCT(--(B308:E308&lt;&gt;""))&gt;0,"○","")</f>
        <v/>
      </c>
      <c r="R308" s="35"/>
      <c r="S308" s="35"/>
      <c r="T308" s="35"/>
      <c r="U308" s="66"/>
      <c r="V308" s="29" t="str">
        <f t="shared" si="48"/>
        <v/>
      </c>
      <c r="W308" s="29" t="str">
        <f t="shared" si="49"/>
        <v/>
      </c>
      <c r="X308" s="30" t="str">
        <f t="shared" si="50"/>
        <v/>
      </c>
      <c r="Y308" s="36"/>
      <c r="Z308" s="37"/>
      <c r="AA308" s="37"/>
      <c r="JG308" s="31" t="str">
        <f t="shared" si="51"/>
        <v/>
      </c>
      <c r="JH308" s="31" t="str">
        <f t="shared" si="52"/>
        <v/>
      </c>
    </row>
    <row r="309" spans="1:268" s="31" customFormat="1" x14ac:dyDescent="0.4">
      <c r="A309" s="32"/>
      <c r="B309" s="32"/>
      <c r="C309" s="32"/>
      <c r="D309" s="32"/>
      <c r="E309" s="38"/>
      <c r="F309" s="61"/>
      <c r="G309" s="33"/>
      <c r="H309" s="33"/>
      <c r="I309" s="27" t="str">
        <f t="shared" si="46"/>
        <v/>
      </c>
      <c r="J309" s="33"/>
      <c r="K309" s="28">
        <f t="shared" si="44"/>
        <v>0</v>
      </c>
      <c r="L309" s="28">
        <f>IF(AND($Y309&lt;&gt;"",$X309&lt;&gt;""),MAX(0,ROUND(($X309*$Y309),0)-NETWORKDAYS.INTL($V309,基準日,1)),0)</f>
        <v>0</v>
      </c>
      <c r="M309" s="28">
        <f t="shared" ca="1" si="45"/>
        <v>0</v>
      </c>
      <c r="N309" s="28">
        <f t="shared" ca="1" si="47"/>
        <v>0</v>
      </c>
      <c r="O309" s="34"/>
      <c r="P309" s="34"/>
      <c r="Q309" s="71" t="str" cm="1">
        <f t="array" ref="Q309">IF(SUMPRODUCT(--(B309:E309&lt;&gt;""))&gt;0,"○","")</f>
        <v/>
      </c>
      <c r="R309" s="35"/>
      <c r="S309" s="35"/>
      <c r="T309" s="35"/>
      <c r="U309" s="66"/>
      <c r="V309" s="29" t="str">
        <f t="shared" si="48"/>
        <v/>
      </c>
      <c r="W309" s="29" t="str">
        <f t="shared" si="49"/>
        <v/>
      </c>
      <c r="X309" s="30" t="str">
        <f t="shared" si="50"/>
        <v/>
      </c>
      <c r="Y309" s="36"/>
      <c r="Z309" s="37"/>
      <c r="AA309" s="37"/>
      <c r="JG309" s="31" t="str">
        <f t="shared" si="51"/>
        <v/>
      </c>
      <c r="JH309" s="31" t="str">
        <f t="shared" si="52"/>
        <v/>
      </c>
    </row>
    <row r="310" spans="1:268" s="31" customFormat="1" x14ac:dyDescent="0.4">
      <c r="A310" s="32"/>
      <c r="B310" s="32"/>
      <c r="C310" s="32"/>
      <c r="D310" s="32"/>
      <c r="E310" s="38"/>
      <c r="F310" s="61"/>
      <c r="G310" s="33"/>
      <c r="H310" s="33"/>
      <c r="I310" s="27" t="str">
        <f t="shared" si="46"/>
        <v/>
      </c>
      <c r="J310" s="33"/>
      <c r="K310" s="28">
        <f t="shared" si="44"/>
        <v>0</v>
      </c>
      <c r="L310" s="28">
        <f>IF(AND($Y310&lt;&gt;"",$X310&lt;&gt;""),MAX(0,ROUND(($X310*$Y310),0)-NETWORKDAYS.INTL($V310,基準日,1)),0)</f>
        <v>0</v>
      </c>
      <c r="M310" s="28">
        <f t="shared" ca="1" si="45"/>
        <v>0</v>
      </c>
      <c r="N310" s="28">
        <f t="shared" ca="1" si="47"/>
        <v>0</v>
      </c>
      <c r="O310" s="34"/>
      <c r="P310" s="34"/>
      <c r="Q310" s="71" t="str" cm="1">
        <f t="array" ref="Q310">IF(SUMPRODUCT(--(B310:E310&lt;&gt;""))&gt;0,"○","")</f>
        <v/>
      </c>
      <c r="R310" s="35"/>
      <c r="S310" s="35"/>
      <c r="T310" s="35"/>
      <c r="U310" s="66"/>
      <c r="V310" s="29" t="str">
        <f t="shared" si="48"/>
        <v/>
      </c>
      <c r="W310" s="29" t="str">
        <f t="shared" si="49"/>
        <v/>
      </c>
      <c r="X310" s="30" t="str">
        <f t="shared" si="50"/>
        <v/>
      </c>
      <c r="Y310" s="36"/>
      <c r="Z310" s="37"/>
      <c r="AA310" s="37"/>
      <c r="JG310" s="31" t="str">
        <f t="shared" si="51"/>
        <v/>
      </c>
      <c r="JH310" s="31" t="str">
        <f t="shared" si="52"/>
        <v/>
      </c>
    </row>
    <row r="311" spans="1:268" s="31" customFormat="1" x14ac:dyDescent="0.4">
      <c r="A311" s="32"/>
      <c r="B311" s="32"/>
      <c r="C311" s="32"/>
      <c r="D311" s="32"/>
      <c r="E311" s="38"/>
      <c r="F311" s="61"/>
      <c r="G311" s="33"/>
      <c r="H311" s="33"/>
      <c r="I311" s="27" t="str">
        <f t="shared" si="46"/>
        <v/>
      </c>
      <c r="J311" s="33"/>
      <c r="K311" s="28">
        <f t="shared" si="44"/>
        <v>0</v>
      </c>
      <c r="L311" s="28">
        <f>IF(AND($Y311&lt;&gt;"",$X311&lt;&gt;""),MAX(0,ROUND(($X311*$Y311),0)-NETWORKDAYS.INTL($V311,基準日,1)),0)</f>
        <v>0</v>
      </c>
      <c r="M311" s="28">
        <f t="shared" ca="1" si="45"/>
        <v>0</v>
      </c>
      <c r="N311" s="28">
        <f t="shared" ca="1" si="47"/>
        <v>0</v>
      </c>
      <c r="O311" s="34"/>
      <c r="P311" s="34"/>
      <c r="Q311" s="71" t="str" cm="1">
        <f t="array" ref="Q311">IF(SUMPRODUCT(--(B311:E311&lt;&gt;""))&gt;0,"○","")</f>
        <v/>
      </c>
      <c r="R311" s="35"/>
      <c r="S311" s="35"/>
      <c r="T311" s="35"/>
      <c r="U311" s="66"/>
      <c r="V311" s="29" t="str">
        <f t="shared" si="48"/>
        <v/>
      </c>
      <c r="W311" s="29" t="str">
        <f t="shared" si="49"/>
        <v/>
      </c>
      <c r="X311" s="30" t="str">
        <f t="shared" si="50"/>
        <v/>
      </c>
      <c r="Y311" s="36"/>
      <c r="Z311" s="37"/>
      <c r="AA311" s="37"/>
      <c r="JG311" s="31" t="str">
        <f t="shared" si="51"/>
        <v/>
      </c>
      <c r="JH311" s="31" t="str">
        <f t="shared" si="52"/>
        <v/>
      </c>
    </row>
    <row r="312" spans="1:268" s="31" customFormat="1" x14ac:dyDescent="0.4">
      <c r="A312" s="32"/>
      <c r="B312" s="32"/>
      <c r="C312" s="32"/>
      <c r="D312" s="32"/>
      <c r="E312" s="38"/>
      <c r="F312" s="61"/>
      <c r="G312" s="33"/>
      <c r="H312" s="33"/>
      <c r="I312" s="27" t="str">
        <f t="shared" si="46"/>
        <v/>
      </c>
      <c r="J312" s="33"/>
      <c r="K312" s="28">
        <f t="shared" si="44"/>
        <v>0</v>
      </c>
      <c r="L312" s="28">
        <f>IF(AND($Y312&lt;&gt;"",$X312&lt;&gt;""),MAX(0,ROUND(($X312*$Y312),0)-NETWORKDAYS.INTL($V312,基準日,1)),0)</f>
        <v>0</v>
      </c>
      <c r="M312" s="28">
        <f t="shared" ca="1" si="45"/>
        <v>0</v>
      </c>
      <c r="N312" s="28">
        <f t="shared" ca="1" si="47"/>
        <v>0</v>
      </c>
      <c r="O312" s="34"/>
      <c r="P312" s="34"/>
      <c r="Q312" s="71" t="str" cm="1">
        <f t="array" ref="Q312">IF(SUMPRODUCT(--(B312:E312&lt;&gt;""))&gt;0,"○","")</f>
        <v/>
      </c>
      <c r="R312" s="35"/>
      <c r="S312" s="35"/>
      <c r="T312" s="35"/>
      <c r="U312" s="66"/>
      <c r="V312" s="29" t="str">
        <f t="shared" si="48"/>
        <v/>
      </c>
      <c r="W312" s="29" t="str">
        <f t="shared" si="49"/>
        <v/>
      </c>
      <c r="X312" s="30" t="str">
        <f t="shared" si="50"/>
        <v/>
      </c>
      <c r="Y312" s="36"/>
      <c r="Z312" s="37"/>
      <c r="AA312" s="37"/>
      <c r="JG312" s="31" t="str">
        <f t="shared" si="51"/>
        <v/>
      </c>
      <c r="JH312" s="31" t="str">
        <f t="shared" si="52"/>
        <v/>
      </c>
    </row>
    <row r="313" spans="1:268" s="31" customFormat="1" x14ac:dyDescent="0.4">
      <c r="A313" s="32"/>
      <c r="B313" s="32"/>
      <c r="C313" s="32"/>
      <c r="D313" s="32"/>
      <c r="E313" s="38"/>
      <c r="F313" s="61"/>
      <c r="G313" s="33"/>
      <c r="H313" s="33"/>
      <c r="I313" s="27" t="str">
        <f t="shared" si="46"/>
        <v/>
      </c>
      <c r="J313" s="33"/>
      <c r="K313" s="28">
        <f t="shared" si="44"/>
        <v>0</v>
      </c>
      <c r="L313" s="28">
        <f>IF(AND($Y313&lt;&gt;"",$X313&lt;&gt;""),MAX(0,ROUND(($X313*$Y313),0)-NETWORKDAYS.INTL($V313,基準日,1)),0)</f>
        <v>0</v>
      </c>
      <c r="M313" s="28">
        <f t="shared" ca="1" si="45"/>
        <v>0</v>
      </c>
      <c r="N313" s="28">
        <f t="shared" ca="1" si="47"/>
        <v>0</v>
      </c>
      <c r="O313" s="34"/>
      <c r="P313" s="34"/>
      <c r="Q313" s="71" t="str" cm="1">
        <f t="array" ref="Q313">IF(SUMPRODUCT(--(B313:E313&lt;&gt;""))&gt;0,"○","")</f>
        <v/>
      </c>
      <c r="R313" s="35"/>
      <c r="S313" s="35"/>
      <c r="T313" s="35"/>
      <c r="U313" s="66"/>
      <c r="V313" s="29" t="str">
        <f t="shared" si="48"/>
        <v/>
      </c>
      <c r="W313" s="29" t="str">
        <f t="shared" si="49"/>
        <v/>
      </c>
      <c r="X313" s="30" t="str">
        <f t="shared" si="50"/>
        <v/>
      </c>
      <c r="Y313" s="36"/>
      <c r="Z313" s="37"/>
      <c r="AA313" s="37"/>
      <c r="JG313" s="31" t="str">
        <f t="shared" si="51"/>
        <v/>
      </c>
      <c r="JH313" s="31" t="str">
        <f t="shared" si="52"/>
        <v/>
      </c>
    </row>
    <row r="314" spans="1:268" s="31" customFormat="1" x14ac:dyDescent="0.4">
      <c r="A314" s="32"/>
      <c r="B314" s="32"/>
      <c r="C314" s="32"/>
      <c r="D314" s="32"/>
      <c r="E314" s="38"/>
      <c r="F314" s="61"/>
      <c r="G314" s="33"/>
      <c r="H314" s="33"/>
      <c r="I314" s="27" t="str">
        <f t="shared" si="46"/>
        <v/>
      </c>
      <c r="J314" s="33"/>
      <c r="K314" s="28">
        <f t="shared" si="44"/>
        <v>0</v>
      </c>
      <c r="L314" s="28">
        <f>IF(AND($Y314&lt;&gt;"",$X314&lt;&gt;""),MAX(0,ROUND(($X314*$Y314),0)-NETWORKDAYS.INTL($V314,基準日,1)),0)</f>
        <v>0</v>
      </c>
      <c r="M314" s="28">
        <f t="shared" ca="1" si="45"/>
        <v>0</v>
      </c>
      <c r="N314" s="28">
        <f t="shared" ca="1" si="47"/>
        <v>0</v>
      </c>
      <c r="O314" s="34"/>
      <c r="P314" s="34"/>
      <c r="Q314" s="71" t="str" cm="1">
        <f t="array" ref="Q314">IF(SUMPRODUCT(--(B314:E314&lt;&gt;""))&gt;0,"○","")</f>
        <v/>
      </c>
      <c r="R314" s="35"/>
      <c r="S314" s="35"/>
      <c r="T314" s="35"/>
      <c r="U314" s="66"/>
      <c r="V314" s="29" t="str">
        <f t="shared" si="48"/>
        <v/>
      </c>
      <c r="W314" s="29" t="str">
        <f t="shared" si="49"/>
        <v/>
      </c>
      <c r="X314" s="30" t="str">
        <f t="shared" si="50"/>
        <v/>
      </c>
      <c r="Y314" s="36"/>
      <c r="Z314" s="37"/>
      <c r="AA314" s="37"/>
      <c r="JG314" s="31" t="str">
        <f t="shared" si="51"/>
        <v/>
      </c>
      <c r="JH314" s="31" t="str">
        <f t="shared" si="52"/>
        <v/>
      </c>
    </row>
    <row r="315" spans="1:268" s="31" customFormat="1" x14ac:dyDescent="0.4">
      <c r="A315" s="32"/>
      <c r="B315" s="32"/>
      <c r="C315" s="32"/>
      <c r="D315" s="32"/>
      <c r="E315" s="38"/>
      <c r="F315" s="61"/>
      <c r="G315" s="33"/>
      <c r="H315" s="33"/>
      <c r="I315" s="27" t="str">
        <f t="shared" si="46"/>
        <v/>
      </c>
      <c r="J315" s="33"/>
      <c r="K315" s="28">
        <f t="shared" si="44"/>
        <v>0</v>
      </c>
      <c r="L315" s="28">
        <f>IF(AND($Y315&lt;&gt;"",$X315&lt;&gt;""),MAX(0,ROUND(($X315*$Y315),0)-NETWORKDAYS.INTL($V315,基準日,1)),0)</f>
        <v>0</v>
      </c>
      <c r="M315" s="28">
        <f t="shared" ca="1" si="45"/>
        <v>0</v>
      </c>
      <c r="N315" s="28">
        <f t="shared" ca="1" si="47"/>
        <v>0</v>
      </c>
      <c r="O315" s="34"/>
      <c r="P315" s="34"/>
      <c r="Q315" s="71" t="str" cm="1">
        <f t="array" ref="Q315">IF(SUMPRODUCT(--(B315:E315&lt;&gt;""))&gt;0,"○","")</f>
        <v/>
      </c>
      <c r="R315" s="35"/>
      <c r="S315" s="35"/>
      <c r="T315" s="35"/>
      <c r="U315" s="66"/>
      <c r="V315" s="29" t="str">
        <f t="shared" si="48"/>
        <v/>
      </c>
      <c r="W315" s="29" t="str">
        <f t="shared" si="49"/>
        <v/>
      </c>
      <c r="X315" s="30" t="str">
        <f t="shared" si="50"/>
        <v/>
      </c>
      <c r="Y315" s="36"/>
      <c r="Z315" s="37"/>
      <c r="AA315" s="37"/>
      <c r="JG315" s="31" t="str">
        <f t="shared" si="51"/>
        <v/>
      </c>
      <c r="JH315" s="31" t="str">
        <f t="shared" si="52"/>
        <v/>
      </c>
    </row>
    <row r="316" spans="1:268" s="31" customFormat="1" x14ac:dyDescent="0.4">
      <c r="A316" s="32"/>
      <c r="B316" s="32"/>
      <c r="C316" s="32"/>
      <c r="D316" s="32"/>
      <c r="E316" s="38"/>
      <c r="F316" s="61"/>
      <c r="G316" s="33"/>
      <c r="H316" s="33"/>
      <c r="I316" s="27" t="str">
        <f t="shared" si="46"/>
        <v/>
      </c>
      <c r="J316" s="33"/>
      <c r="K316" s="28">
        <f t="shared" si="44"/>
        <v>0</v>
      </c>
      <c r="L316" s="28">
        <f>IF(AND($Y316&lt;&gt;"",$X316&lt;&gt;""),MAX(0,ROUND(($X316*$Y316),0)-NETWORKDAYS.INTL($V316,基準日,1)),0)</f>
        <v>0</v>
      </c>
      <c r="M316" s="28">
        <f t="shared" ca="1" si="45"/>
        <v>0</v>
      </c>
      <c r="N316" s="28">
        <f t="shared" ca="1" si="47"/>
        <v>0</v>
      </c>
      <c r="O316" s="34"/>
      <c r="P316" s="34"/>
      <c r="Q316" s="71" t="str" cm="1">
        <f t="array" ref="Q316">IF(SUMPRODUCT(--(B316:E316&lt;&gt;""))&gt;0,"○","")</f>
        <v/>
      </c>
      <c r="R316" s="35"/>
      <c r="S316" s="35"/>
      <c r="T316" s="35"/>
      <c r="U316" s="66"/>
      <c r="V316" s="29" t="str">
        <f t="shared" si="48"/>
        <v/>
      </c>
      <c r="W316" s="29" t="str">
        <f t="shared" si="49"/>
        <v/>
      </c>
      <c r="X316" s="30" t="str">
        <f t="shared" si="50"/>
        <v/>
      </c>
      <c r="Y316" s="36"/>
      <c r="Z316" s="37"/>
      <c r="AA316" s="37"/>
      <c r="JG316" s="31" t="str">
        <f t="shared" si="51"/>
        <v/>
      </c>
      <c r="JH316" s="31" t="str">
        <f t="shared" si="52"/>
        <v/>
      </c>
    </row>
    <row r="317" spans="1:268" s="31" customFormat="1" x14ac:dyDescent="0.4">
      <c r="A317" s="32"/>
      <c r="B317" s="32"/>
      <c r="C317" s="32"/>
      <c r="D317" s="32"/>
      <c r="E317" s="38"/>
      <c r="F317" s="61"/>
      <c r="G317" s="33"/>
      <c r="H317" s="33"/>
      <c r="I317" s="27" t="str">
        <f t="shared" si="46"/>
        <v/>
      </c>
      <c r="J317" s="33"/>
      <c r="K317" s="28">
        <f t="shared" si="44"/>
        <v>0</v>
      </c>
      <c r="L317" s="28">
        <f>IF(AND($Y317&lt;&gt;"",$X317&lt;&gt;""),MAX(0,ROUND(($X317*$Y317),0)-NETWORKDAYS.INTL($V317,基準日,1)),0)</f>
        <v>0</v>
      </c>
      <c r="M317" s="28">
        <f t="shared" ca="1" si="45"/>
        <v>0</v>
      </c>
      <c r="N317" s="28">
        <f t="shared" ca="1" si="47"/>
        <v>0</v>
      </c>
      <c r="O317" s="34"/>
      <c r="P317" s="34"/>
      <c r="Q317" s="71" t="str" cm="1">
        <f t="array" ref="Q317">IF(SUMPRODUCT(--(B317:E317&lt;&gt;""))&gt;0,"○","")</f>
        <v/>
      </c>
      <c r="R317" s="35"/>
      <c r="S317" s="35"/>
      <c r="T317" s="35"/>
      <c r="U317" s="66"/>
      <c r="V317" s="29" t="str">
        <f t="shared" si="48"/>
        <v/>
      </c>
      <c r="W317" s="29" t="str">
        <f t="shared" si="49"/>
        <v/>
      </c>
      <c r="X317" s="30" t="str">
        <f t="shared" si="50"/>
        <v/>
      </c>
      <c r="Y317" s="36"/>
      <c r="Z317" s="37"/>
      <c r="AA317" s="37"/>
      <c r="JG317" s="31" t="str">
        <f t="shared" si="51"/>
        <v/>
      </c>
      <c r="JH317" s="31" t="str">
        <f t="shared" si="52"/>
        <v/>
      </c>
    </row>
    <row r="318" spans="1:268" s="31" customFormat="1" x14ac:dyDescent="0.4">
      <c r="A318" s="32"/>
      <c r="B318" s="32"/>
      <c r="C318" s="32"/>
      <c r="D318" s="32"/>
      <c r="E318" s="38"/>
      <c r="F318" s="61"/>
      <c r="G318" s="33"/>
      <c r="H318" s="33"/>
      <c r="I318" s="27" t="str">
        <f t="shared" si="46"/>
        <v/>
      </c>
      <c r="J318" s="33"/>
      <c r="K318" s="28">
        <f t="shared" si="44"/>
        <v>0</v>
      </c>
      <c r="L318" s="28">
        <f>IF(AND($Y318&lt;&gt;"",$X318&lt;&gt;""),MAX(0,ROUND(($X318*$Y318),0)-NETWORKDAYS.INTL($V318,基準日,1)),0)</f>
        <v>0</v>
      </c>
      <c r="M318" s="28">
        <f t="shared" ca="1" si="45"/>
        <v>0</v>
      </c>
      <c r="N318" s="28">
        <f t="shared" ca="1" si="47"/>
        <v>0</v>
      </c>
      <c r="O318" s="34"/>
      <c r="P318" s="34"/>
      <c r="Q318" s="71" t="str" cm="1">
        <f t="array" ref="Q318">IF(SUMPRODUCT(--(B318:E318&lt;&gt;""))&gt;0,"○","")</f>
        <v/>
      </c>
      <c r="R318" s="35"/>
      <c r="S318" s="35"/>
      <c r="T318" s="35"/>
      <c r="U318" s="66"/>
      <c r="V318" s="29" t="str">
        <f t="shared" si="48"/>
        <v/>
      </c>
      <c r="W318" s="29" t="str">
        <f t="shared" si="49"/>
        <v/>
      </c>
      <c r="X318" s="30" t="str">
        <f t="shared" si="50"/>
        <v/>
      </c>
      <c r="Y318" s="36"/>
      <c r="Z318" s="37"/>
      <c r="AA318" s="37"/>
      <c r="JG318" s="31" t="str">
        <f t="shared" si="51"/>
        <v/>
      </c>
      <c r="JH318" s="31" t="str">
        <f t="shared" si="52"/>
        <v/>
      </c>
    </row>
    <row r="319" spans="1:268" s="31" customFormat="1" x14ac:dyDescent="0.4">
      <c r="A319" s="32"/>
      <c r="B319" s="32"/>
      <c r="C319" s="32"/>
      <c r="D319" s="32"/>
      <c r="E319" s="38"/>
      <c r="F319" s="61"/>
      <c r="G319" s="33"/>
      <c r="H319" s="33"/>
      <c r="I319" s="27" t="str">
        <f t="shared" si="46"/>
        <v/>
      </c>
      <c r="J319" s="33"/>
      <c r="K319" s="28">
        <f t="shared" si="44"/>
        <v>0</v>
      </c>
      <c r="L319" s="28">
        <f>IF(AND($Y319&lt;&gt;"",$X319&lt;&gt;""),MAX(0,ROUND(($X319*$Y319),0)-NETWORKDAYS.INTL($V319,基準日,1)),0)</f>
        <v>0</v>
      </c>
      <c r="M319" s="28">
        <f t="shared" ca="1" si="45"/>
        <v>0</v>
      </c>
      <c r="N319" s="28">
        <f t="shared" ca="1" si="47"/>
        <v>0</v>
      </c>
      <c r="O319" s="34"/>
      <c r="P319" s="34"/>
      <c r="Q319" s="71" t="str" cm="1">
        <f t="array" ref="Q319">IF(SUMPRODUCT(--(B319:E319&lt;&gt;""))&gt;0,"○","")</f>
        <v/>
      </c>
      <c r="R319" s="35"/>
      <c r="S319" s="35"/>
      <c r="T319" s="35"/>
      <c r="U319" s="66"/>
      <c r="V319" s="29" t="str">
        <f t="shared" si="48"/>
        <v/>
      </c>
      <c r="W319" s="29" t="str">
        <f t="shared" si="49"/>
        <v/>
      </c>
      <c r="X319" s="30" t="str">
        <f t="shared" si="50"/>
        <v/>
      </c>
      <c r="Y319" s="36"/>
      <c r="Z319" s="37"/>
      <c r="AA319" s="37"/>
      <c r="JG319" s="31" t="str">
        <f t="shared" si="51"/>
        <v/>
      </c>
      <c r="JH319" s="31" t="str">
        <f t="shared" si="52"/>
        <v/>
      </c>
    </row>
    <row r="320" spans="1:268" s="31" customFormat="1" x14ac:dyDescent="0.4">
      <c r="A320" s="32"/>
      <c r="B320" s="32"/>
      <c r="C320" s="32"/>
      <c r="D320" s="32"/>
      <c r="E320" s="38"/>
      <c r="F320" s="61"/>
      <c r="G320" s="33"/>
      <c r="H320" s="33"/>
      <c r="I320" s="27" t="str">
        <f t="shared" si="46"/>
        <v/>
      </c>
      <c r="J320" s="33"/>
      <c r="K320" s="28">
        <f t="shared" si="44"/>
        <v>0</v>
      </c>
      <c r="L320" s="28">
        <f>IF(AND($Y320&lt;&gt;"",$X320&lt;&gt;""),MAX(0,ROUND(($X320*$Y320),0)-NETWORKDAYS.INTL($V320,基準日,1)),0)</f>
        <v>0</v>
      </c>
      <c r="M320" s="28">
        <f t="shared" ca="1" si="45"/>
        <v>0</v>
      </c>
      <c r="N320" s="28">
        <f t="shared" ca="1" si="47"/>
        <v>0</v>
      </c>
      <c r="O320" s="34"/>
      <c r="P320" s="34"/>
      <c r="Q320" s="71" t="str" cm="1">
        <f t="array" ref="Q320">IF(SUMPRODUCT(--(B320:E320&lt;&gt;""))&gt;0,"○","")</f>
        <v/>
      </c>
      <c r="R320" s="35"/>
      <c r="S320" s="35"/>
      <c r="T320" s="35"/>
      <c r="U320" s="66"/>
      <c r="V320" s="29" t="str">
        <f t="shared" si="48"/>
        <v/>
      </c>
      <c r="W320" s="29" t="str">
        <f t="shared" si="49"/>
        <v/>
      </c>
      <c r="X320" s="30" t="str">
        <f t="shared" si="50"/>
        <v/>
      </c>
      <c r="Y320" s="36"/>
      <c r="Z320" s="37"/>
      <c r="AA320" s="37"/>
      <c r="JG320" s="31" t="str">
        <f t="shared" si="51"/>
        <v/>
      </c>
      <c r="JH320" s="31" t="str">
        <f t="shared" si="52"/>
        <v/>
      </c>
    </row>
    <row r="321" spans="1:268" s="31" customFormat="1" x14ac:dyDescent="0.4">
      <c r="A321" s="32"/>
      <c r="B321" s="32"/>
      <c r="C321" s="32"/>
      <c r="D321" s="32"/>
      <c r="E321" s="38"/>
      <c r="F321" s="61"/>
      <c r="G321" s="33"/>
      <c r="H321" s="33"/>
      <c r="I321" s="27" t="str">
        <f t="shared" si="46"/>
        <v/>
      </c>
      <c r="J321" s="33"/>
      <c r="K321" s="28">
        <f t="shared" si="44"/>
        <v>0</v>
      </c>
      <c r="L321" s="28">
        <f>IF(AND($Y321&lt;&gt;"",$X321&lt;&gt;""),MAX(0,ROUND(($X321*$Y321),0)-NETWORKDAYS.INTL($V321,基準日,1)),0)</f>
        <v>0</v>
      </c>
      <c r="M321" s="28">
        <f t="shared" ca="1" si="45"/>
        <v>0</v>
      </c>
      <c r="N321" s="28">
        <f t="shared" ca="1" si="47"/>
        <v>0</v>
      </c>
      <c r="O321" s="34"/>
      <c r="P321" s="34"/>
      <c r="Q321" s="71" t="str" cm="1">
        <f t="array" ref="Q321">IF(SUMPRODUCT(--(B321:E321&lt;&gt;""))&gt;0,"○","")</f>
        <v/>
      </c>
      <c r="R321" s="35"/>
      <c r="S321" s="35"/>
      <c r="T321" s="35"/>
      <c r="U321" s="66"/>
      <c r="V321" s="29" t="str">
        <f t="shared" si="48"/>
        <v/>
      </c>
      <c r="W321" s="29" t="str">
        <f t="shared" si="49"/>
        <v/>
      </c>
      <c r="X321" s="30" t="str">
        <f t="shared" si="50"/>
        <v/>
      </c>
      <c r="Y321" s="36"/>
      <c r="Z321" s="37"/>
      <c r="AA321" s="37"/>
      <c r="JG321" s="31" t="str">
        <f t="shared" si="51"/>
        <v/>
      </c>
      <c r="JH321" s="31" t="str">
        <f t="shared" si="52"/>
        <v/>
      </c>
    </row>
    <row r="322" spans="1:268" s="31" customFormat="1" x14ac:dyDescent="0.4">
      <c r="A322" s="32"/>
      <c r="B322" s="32"/>
      <c r="C322" s="32"/>
      <c r="D322" s="32"/>
      <c r="E322" s="38"/>
      <c r="F322" s="61"/>
      <c r="G322" s="33"/>
      <c r="H322" s="33"/>
      <c r="I322" s="27" t="str">
        <f t="shared" si="46"/>
        <v/>
      </c>
      <c r="J322" s="33"/>
      <c r="K322" s="28">
        <f t="shared" si="44"/>
        <v>0</v>
      </c>
      <c r="L322" s="28">
        <f>IF(AND($Y322&lt;&gt;"",$X322&lt;&gt;""),MAX(0,ROUND(($X322*$Y322),0)-NETWORKDAYS.INTL($V322,基準日,1)),0)</f>
        <v>0</v>
      </c>
      <c r="M322" s="28">
        <f t="shared" ca="1" si="45"/>
        <v>0</v>
      </c>
      <c r="N322" s="28">
        <f t="shared" ca="1" si="47"/>
        <v>0</v>
      </c>
      <c r="O322" s="34"/>
      <c r="P322" s="34"/>
      <c r="Q322" s="71" t="str" cm="1">
        <f t="array" ref="Q322">IF(SUMPRODUCT(--(B322:E322&lt;&gt;""))&gt;0,"○","")</f>
        <v/>
      </c>
      <c r="R322" s="35"/>
      <c r="S322" s="35"/>
      <c r="T322" s="35"/>
      <c r="U322" s="66"/>
      <c r="V322" s="29" t="str">
        <f t="shared" si="48"/>
        <v/>
      </c>
      <c r="W322" s="29" t="str">
        <f t="shared" si="49"/>
        <v/>
      </c>
      <c r="X322" s="30" t="str">
        <f t="shared" si="50"/>
        <v/>
      </c>
      <c r="Y322" s="36"/>
      <c r="Z322" s="37"/>
      <c r="AA322" s="37"/>
      <c r="JG322" s="31" t="str">
        <f t="shared" si="51"/>
        <v/>
      </c>
      <c r="JH322" s="31" t="str">
        <f t="shared" si="52"/>
        <v/>
      </c>
    </row>
    <row r="323" spans="1:268" s="31" customFormat="1" x14ac:dyDescent="0.4">
      <c r="A323" s="32"/>
      <c r="B323" s="32"/>
      <c r="C323" s="32"/>
      <c r="D323" s="32"/>
      <c r="E323" s="38"/>
      <c r="F323" s="61"/>
      <c r="G323" s="33"/>
      <c r="H323" s="33"/>
      <c r="I323" s="27" t="str">
        <f t="shared" si="46"/>
        <v/>
      </c>
      <c r="J323" s="33"/>
      <c r="K323" s="28">
        <f t="shared" si="44"/>
        <v>0</v>
      </c>
      <c r="L323" s="28">
        <f>IF(AND($Y323&lt;&gt;"",$X323&lt;&gt;""),MAX(0,ROUND(($X323*$Y323),0)-NETWORKDAYS.INTL($V323,基準日,1)),0)</f>
        <v>0</v>
      </c>
      <c r="M323" s="28">
        <f t="shared" ca="1" si="45"/>
        <v>0</v>
      </c>
      <c r="N323" s="28">
        <f t="shared" ca="1" si="47"/>
        <v>0</v>
      </c>
      <c r="O323" s="34"/>
      <c r="P323" s="34"/>
      <c r="Q323" s="71" t="str" cm="1">
        <f t="array" ref="Q323">IF(SUMPRODUCT(--(B323:E323&lt;&gt;""))&gt;0,"○","")</f>
        <v/>
      </c>
      <c r="R323" s="35"/>
      <c r="S323" s="35"/>
      <c r="T323" s="35"/>
      <c r="U323" s="66"/>
      <c r="V323" s="29" t="str">
        <f t="shared" si="48"/>
        <v/>
      </c>
      <c r="W323" s="29" t="str">
        <f t="shared" si="49"/>
        <v/>
      </c>
      <c r="X323" s="30" t="str">
        <f t="shared" si="50"/>
        <v/>
      </c>
      <c r="Y323" s="36"/>
      <c r="Z323" s="37"/>
      <c r="AA323" s="37"/>
      <c r="JG323" s="31" t="str">
        <f t="shared" si="51"/>
        <v/>
      </c>
      <c r="JH323" s="31" t="str">
        <f t="shared" si="52"/>
        <v/>
      </c>
    </row>
    <row r="324" spans="1:268" s="31" customFormat="1" x14ac:dyDescent="0.4">
      <c r="A324" s="32"/>
      <c r="B324" s="32"/>
      <c r="C324" s="32"/>
      <c r="D324" s="32"/>
      <c r="E324" s="38"/>
      <c r="F324" s="61"/>
      <c r="G324" s="33"/>
      <c r="H324" s="33"/>
      <c r="I324" s="27" t="str">
        <f t="shared" si="46"/>
        <v/>
      </c>
      <c r="J324" s="33"/>
      <c r="K324" s="28">
        <f t="shared" si="44"/>
        <v>0</v>
      </c>
      <c r="L324" s="28">
        <f>IF(AND($Y324&lt;&gt;"",$X324&lt;&gt;""),MAX(0,ROUND(($X324*$Y324),0)-NETWORKDAYS.INTL($V324,基準日,1)),0)</f>
        <v>0</v>
      </c>
      <c r="M324" s="28">
        <f t="shared" ca="1" si="45"/>
        <v>0</v>
      </c>
      <c r="N324" s="28">
        <f t="shared" ca="1" si="47"/>
        <v>0</v>
      </c>
      <c r="O324" s="34"/>
      <c r="P324" s="34"/>
      <c r="Q324" s="71" t="str" cm="1">
        <f t="array" ref="Q324">IF(SUMPRODUCT(--(B324:E324&lt;&gt;""))&gt;0,"○","")</f>
        <v/>
      </c>
      <c r="R324" s="35"/>
      <c r="S324" s="35"/>
      <c r="T324" s="35"/>
      <c r="U324" s="66"/>
      <c r="V324" s="29" t="str">
        <f t="shared" si="48"/>
        <v/>
      </c>
      <c r="W324" s="29" t="str">
        <f t="shared" si="49"/>
        <v/>
      </c>
      <c r="X324" s="30" t="str">
        <f t="shared" si="50"/>
        <v/>
      </c>
      <c r="Y324" s="36"/>
      <c r="Z324" s="37"/>
      <c r="AA324" s="37"/>
      <c r="JG324" s="31" t="str">
        <f t="shared" si="51"/>
        <v/>
      </c>
      <c r="JH324" s="31" t="str">
        <f t="shared" si="52"/>
        <v/>
      </c>
    </row>
    <row r="325" spans="1:268" s="31" customFormat="1" x14ac:dyDescent="0.4">
      <c r="A325" s="32"/>
      <c r="B325" s="32"/>
      <c r="C325" s="32"/>
      <c r="D325" s="32"/>
      <c r="E325" s="38"/>
      <c r="F325" s="61"/>
      <c r="G325" s="33"/>
      <c r="H325" s="33"/>
      <c r="I325" s="27" t="str">
        <f t="shared" si="46"/>
        <v/>
      </c>
      <c r="J325" s="33"/>
      <c r="K325" s="28">
        <f t="shared" ref="K325:K375" si="53">IF($Z325&lt;&gt;"",IF($W325&gt;=$Z325,$W325-$Z325,$X325)*$Y325,0)</f>
        <v>0</v>
      </c>
      <c r="L325" s="28">
        <f>IF(AND($Y325&lt;&gt;"",$X325&lt;&gt;""),MAX(0,ROUND(($X325*$Y325),0)-NETWORKDAYS.INTL($V325,基準日,1)),0)</f>
        <v>0</v>
      </c>
      <c r="M325" s="28">
        <f t="shared" ref="M325:M375" ca="1" si="54">IF(AND(IFERROR(VALUE($X325),0),$Z325="",$V325&lt;基準日),基準日-$V325,0)</f>
        <v>0</v>
      </c>
      <c r="N325" s="28">
        <f t="shared" ca="1" si="47"/>
        <v>0</v>
      </c>
      <c r="O325" s="34"/>
      <c r="P325" s="34"/>
      <c r="Q325" s="71" t="str" cm="1">
        <f t="array" ref="Q325">IF(SUMPRODUCT(--(B325:E325&lt;&gt;""))&gt;0,"○","")</f>
        <v/>
      </c>
      <c r="R325" s="35"/>
      <c r="S325" s="35"/>
      <c r="T325" s="35"/>
      <c r="U325" s="66"/>
      <c r="V325" s="29" t="str">
        <f t="shared" si="48"/>
        <v/>
      </c>
      <c r="W325" s="29" t="str">
        <f t="shared" si="49"/>
        <v/>
      </c>
      <c r="X325" s="30" t="str">
        <f t="shared" si="50"/>
        <v/>
      </c>
      <c r="Y325" s="36"/>
      <c r="Z325" s="37"/>
      <c r="AA325" s="37"/>
      <c r="JG325" s="31" t="str">
        <f t="shared" si="51"/>
        <v/>
      </c>
      <c r="JH325" s="31" t="str">
        <f t="shared" si="52"/>
        <v/>
      </c>
    </row>
    <row r="326" spans="1:268" s="31" customFormat="1" x14ac:dyDescent="0.4">
      <c r="A326" s="32"/>
      <c r="B326" s="32"/>
      <c r="C326" s="32"/>
      <c r="D326" s="32"/>
      <c r="E326" s="38"/>
      <c r="F326" s="61"/>
      <c r="G326" s="33"/>
      <c r="H326" s="33"/>
      <c r="I326" s="27" t="str">
        <f t="shared" ref="I326:I375" si="55">IF(ISBLANK(G326),"","○")</f>
        <v/>
      </c>
      <c r="J326" s="33"/>
      <c r="K326" s="28">
        <f t="shared" si="53"/>
        <v>0</v>
      </c>
      <c r="L326" s="28">
        <f>IF(AND($Y326&lt;&gt;"",$X326&lt;&gt;""),MAX(0,ROUND(($X326*$Y326),0)-NETWORKDAYS.INTL($V326,基準日,1)),0)</f>
        <v>0</v>
      </c>
      <c r="M326" s="28">
        <f t="shared" ca="1" si="54"/>
        <v>0</v>
      </c>
      <c r="N326" s="28">
        <f t="shared" ref="N326:N375" ca="1" si="56">MAX(L326:M326)</f>
        <v>0</v>
      </c>
      <c r="O326" s="34"/>
      <c r="P326" s="34"/>
      <c r="Q326" s="71" t="str" cm="1">
        <f t="array" ref="Q326">IF(SUMPRODUCT(--(B326:E326&lt;&gt;""))&gt;0,"○","")</f>
        <v/>
      </c>
      <c r="R326" s="35"/>
      <c r="S326" s="35"/>
      <c r="T326" s="35"/>
      <c r="U326" s="66"/>
      <c r="V326" s="29" t="str">
        <f t="shared" ref="V326:V375" si="57">IF(NOT(ISBLANK(S326)),S326,IF(AND(NOT(ISBLANK(T326)),NOT(ISBLANK(U326))),IF(NOT(JH326),T326-U326+1,WORKDAY.INTL(T326,-U326+1,1)),""))</f>
        <v/>
      </c>
      <c r="W326" s="29" t="str">
        <f t="shared" ref="W326:W375" si="58">IF(NOT(ISBLANK(T326)),T326,IF(AND(NOT(ISBLANK(S326)),NOT(ISBLANK(U326))),IF(NOT(JG326),S326+U326-1,WORKDAY.INTL(S326,U326-1,1)),""))</f>
        <v/>
      </c>
      <c r="X326" s="30" t="str">
        <f t="shared" ref="X326:X375" si="59">IF(NOT(ISBLANK(U326)),U326,IF(AND(NOT(ISBLANK(S326)),NOT(ISBLANK(T326))),IF(S326&lt;=T326,IF(OR(NOT(JG326),NOT(JH326)),T326-S326+1,NETWORKDAYS.INTL(S326,T326,1)),0),""))</f>
        <v/>
      </c>
      <c r="Y326" s="36"/>
      <c r="Z326" s="37"/>
      <c r="AA326" s="37"/>
      <c r="JG326" s="31" t="str">
        <f t="shared" ref="JG326:JG375" si="60">IF(ISBLANK(S326),"",IF(OR(WEEKDAY(S326,2)=6,WEEKDAY(S326,2)=7),FALSE,TRUE))</f>
        <v/>
      </c>
      <c r="JH326" s="31" t="str">
        <f t="shared" ref="JH326:JH375" si="61">IF(ISBLANK(T326),"",IF(OR(WEEKDAY(T326,2)=6,WEEKDAY(T326,2)=7),FALSE,TRUE))</f>
        <v/>
      </c>
    </row>
    <row r="327" spans="1:268" s="31" customFormat="1" x14ac:dyDescent="0.4">
      <c r="A327" s="32"/>
      <c r="B327" s="32"/>
      <c r="C327" s="32"/>
      <c r="D327" s="32"/>
      <c r="E327" s="38"/>
      <c r="F327" s="61"/>
      <c r="G327" s="33"/>
      <c r="H327" s="33"/>
      <c r="I327" s="27" t="str">
        <f t="shared" si="55"/>
        <v/>
      </c>
      <c r="J327" s="33"/>
      <c r="K327" s="28">
        <f t="shared" si="53"/>
        <v>0</v>
      </c>
      <c r="L327" s="28">
        <f>IF(AND($Y327&lt;&gt;"",$X327&lt;&gt;""),MAX(0,ROUND(($X327*$Y327),0)-NETWORKDAYS.INTL($V327,基準日,1)),0)</f>
        <v>0</v>
      </c>
      <c r="M327" s="28">
        <f t="shared" ca="1" si="54"/>
        <v>0</v>
      </c>
      <c r="N327" s="28">
        <f t="shared" ca="1" si="56"/>
        <v>0</v>
      </c>
      <c r="O327" s="34"/>
      <c r="P327" s="34"/>
      <c r="Q327" s="71" t="str" cm="1">
        <f t="array" ref="Q327">IF(SUMPRODUCT(--(B327:E327&lt;&gt;""))&gt;0,"○","")</f>
        <v/>
      </c>
      <c r="R327" s="35"/>
      <c r="S327" s="35"/>
      <c r="T327" s="35"/>
      <c r="U327" s="66"/>
      <c r="V327" s="29" t="str">
        <f t="shared" si="57"/>
        <v/>
      </c>
      <c r="W327" s="29" t="str">
        <f t="shared" si="58"/>
        <v/>
      </c>
      <c r="X327" s="30" t="str">
        <f t="shared" si="59"/>
        <v/>
      </c>
      <c r="Y327" s="36"/>
      <c r="Z327" s="37"/>
      <c r="AA327" s="37"/>
      <c r="JG327" s="31" t="str">
        <f t="shared" si="60"/>
        <v/>
      </c>
      <c r="JH327" s="31" t="str">
        <f t="shared" si="61"/>
        <v/>
      </c>
    </row>
    <row r="328" spans="1:268" s="31" customFormat="1" x14ac:dyDescent="0.4">
      <c r="A328" s="32"/>
      <c r="B328" s="32"/>
      <c r="C328" s="32"/>
      <c r="D328" s="32"/>
      <c r="E328" s="38"/>
      <c r="F328" s="61"/>
      <c r="G328" s="33"/>
      <c r="H328" s="33"/>
      <c r="I328" s="27" t="str">
        <f t="shared" si="55"/>
        <v/>
      </c>
      <c r="J328" s="33"/>
      <c r="K328" s="28">
        <f t="shared" si="53"/>
        <v>0</v>
      </c>
      <c r="L328" s="28">
        <f>IF(AND($Y328&lt;&gt;"",$X328&lt;&gt;""),MAX(0,ROUND(($X328*$Y328),0)-NETWORKDAYS.INTL($V328,基準日,1)),0)</f>
        <v>0</v>
      </c>
      <c r="M328" s="28">
        <f t="shared" ca="1" si="54"/>
        <v>0</v>
      </c>
      <c r="N328" s="28">
        <f t="shared" ca="1" si="56"/>
        <v>0</v>
      </c>
      <c r="O328" s="34"/>
      <c r="P328" s="34"/>
      <c r="Q328" s="71" t="str" cm="1">
        <f t="array" ref="Q328">IF(SUMPRODUCT(--(B328:E328&lt;&gt;""))&gt;0,"○","")</f>
        <v/>
      </c>
      <c r="R328" s="35"/>
      <c r="S328" s="35"/>
      <c r="T328" s="35"/>
      <c r="U328" s="66"/>
      <c r="V328" s="29" t="str">
        <f t="shared" si="57"/>
        <v/>
      </c>
      <c r="W328" s="29" t="str">
        <f t="shared" si="58"/>
        <v/>
      </c>
      <c r="X328" s="30" t="str">
        <f t="shared" si="59"/>
        <v/>
      </c>
      <c r="Y328" s="36"/>
      <c r="Z328" s="37"/>
      <c r="AA328" s="37"/>
      <c r="JG328" s="31" t="str">
        <f t="shared" si="60"/>
        <v/>
      </c>
      <c r="JH328" s="31" t="str">
        <f t="shared" si="61"/>
        <v/>
      </c>
    </row>
    <row r="329" spans="1:268" s="31" customFormat="1" x14ac:dyDescent="0.4">
      <c r="A329" s="32"/>
      <c r="B329" s="32"/>
      <c r="C329" s="32"/>
      <c r="D329" s="32"/>
      <c r="E329" s="38"/>
      <c r="F329" s="61"/>
      <c r="G329" s="33"/>
      <c r="H329" s="33"/>
      <c r="I329" s="27" t="str">
        <f t="shared" si="55"/>
        <v/>
      </c>
      <c r="J329" s="33"/>
      <c r="K329" s="28">
        <f t="shared" si="53"/>
        <v>0</v>
      </c>
      <c r="L329" s="28">
        <f>IF(AND($Y329&lt;&gt;"",$X329&lt;&gt;""),MAX(0,ROUND(($X329*$Y329),0)-NETWORKDAYS.INTL($V329,基準日,1)),0)</f>
        <v>0</v>
      </c>
      <c r="M329" s="28">
        <f t="shared" ca="1" si="54"/>
        <v>0</v>
      </c>
      <c r="N329" s="28">
        <f t="shared" ca="1" si="56"/>
        <v>0</v>
      </c>
      <c r="O329" s="34"/>
      <c r="P329" s="34"/>
      <c r="Q329" s="71" t="str" cm="1">
        <f t="array" ref="Q329">IF(SUMPRODUCT(--(B329:E329&lt;&gt;""))&gt;0,"○","")</f>
        <v/>
      </c>
      <c r="R329" s="35"/>
      <c r="S329" s="35"/>
      <c r="T329" s="35"/>
      <c r="U329" s="66"/>
      <c r="V329" s="29" t="str">
        <f t="shared" si="57"/>
        <v/>
      </c>
      <c r="W329" s="29" t="str">
        <f t="shared" si="58"/>
        <v/>
      </c>
      <c r="X329" s="30" t="str">
        <f t="shared" si="59"/>
        <v/>
      </c>
      <c r="Y329" s="36"/>
      <c r="Z329" s="37"/>
      <c r="AA329" s="37"/>
      <c r="JG329" s="31" t="str">
        <f t="shared" si="60"/>
        <v/>
      </c>
      <c r="JH329" s="31" t="str">
        <f t="shared" si="61"/>
        <v/>
      </c>
    </row>
    <row r="330" spans="1:268" s="31" customFormat="1" x14ac:dyDescent="0.4">
      <c r="A330" s="32"/>
      <c r="B330" s="32"/>
      <c r="C330" s="32"/>
      <c r="D330" s="32"/>
      <c r="E330" s="38"/>
      <c r="F330" s="61"/>
      <c r="G330" s="33"/>
      <c r="H330" s="33"/>
      <c r="I330" s="27" t="str">
        <f t="shared" si="55"/>
        <v/>
      </c>
      <c r="J330" s="33"/>
      <c r="K330" s="28">
        <f t="shared" si="53"/>
        <v>0</v>
      </c>
      <c r="L330" s="28">
        <f>IF(AND($Y330&lt;&gt;"",$X330&lt;&gt;""),MAX(0,ROUND(($X330*$Y330),0)-NETWORKDAYS.INTL($V330,基準日,1)),0)</f>
        <v>0</v>
      </c>
      <c r="M330" s="28">
        <f t="shared" ca="1" si="54"/>
        <v>0</v>
      </c>
      <c r="N330" s="28">
        <f t="shared" ca="1" si="56"/>
        <v>0</v>
      </c>
      <c r="O330" s="34"/>
      <c r="P330" s="34"/>
      <c r="Q330" s="71" t="str" cm="1">
        <f t="array" ref="Q330">IF(SUMPRODUCT(--(B330:E330&lt;&gt;""))&gt;0,"○","")</f>
        <v/>
      </c>
      <c r="R330" s="35"/>
      <c r="S330" s="35"/>
      <c r="T330" s="35"/>
      <c r="U330" s="66"/>
      <c r="V330" s="29" t="str">
        <f t="shared" si="57"/>
        <v/>
      </c>
      <c r="W330" s="29" t="str">
        <f t="shared" si="58"/>
        <v/>
      </c>
      <c r="X330" s="30" t="str">
        <f t="shared" si="59"/>
        <v/>
      </c>
      <c r="Y330" s="36"/>
      <c r="Z330" s="37"/>
      <c r="AA330" s="37"/>
      <c r="JG330" s="31" t="str">
        <f t="shared" si="60"/>
        <v/>
      </c>
      <c r="JH330" s="31" t="str">
        <f t="shared" si="61"/>
        <v/>
      </c>
    </row>
    <row r="331" spans="1:268" s="31" customFormat="1" x14ac:dyDescent="0.4">
      <c r="A331" s="32"/>
      <c r="B331" s="32"/>
      <c r="C331" s="32"/>
      <c r="D331" s="32"/>
      <c r="E331" s="38"/>
      <c r="F331" s="61"/>
      <c r="G331" s="33"/>
      <c r="H331" s="33"/>
      <c r="I331" s="27" t="str">
        <f t="shared" si="55"/>
        <v/>
      </c>
      <c r="J331" s="33"/>
      <c r="K331" s="28">
        <f t="shared" si="53"/>
        <v>0</v>
      </c>
      <c r="L331" s="28">
        <f>IF(AND($Y331&lt;&gt;"",$X331&lt;&gt;""),MAX(0,ROUND(($X331*$Y331),0)-NETWORKDAYS.INTL($V331,基準日,1)),0)</f>
        <v>0</v>
      </c>
      <c r="M331" s="28">
        <f t="shared" ca="1" si="54"/>
        <v>0</v>
      </c>
      <c r="N331" s="28">
        <f t="shared" ca="1" si="56"/>
        <v>0</v>
      </c>
      <c r="O331" s="34"/>
      <c r="P331" s="34"/>
      <c r="Q331" s="71" t="str" cm="1">
        <f t="array" ref="Q331">IF(SUMPRODUCT(--(B331:E331&lt;&gt;""))&gt;0,"○","")</f>
        <v/>
      </c>
      <c r="R331" s="35"/>
      <c r="S331" s="35"/>
      <c r="T331" s="35"/>
      <c r="U331" s="66"/>
      <c r="V331" s="29" t="str">
        <f t="shared" si="57"/>
        <v/>
      </c>
      <c r="W331" s="29" t="str">
        <f t="shared" si="58"/>
        <v/>
      </c>
      <c r="X331" s="30" t="str">
        <f t="shared" si="59"/>
        <v/>
      </c>
      <c r="Y331" s="36"/>
      <c r="Z331" s="37"/>
      <c r="AA331" s="37"/>
      <c r="JG331" s="31" t="str">
        <f t="shared" si="60"/>
        <v/>
      </c>
      <c r="JH331" s="31" t="str">
        <f t="shared" si="61"/>
        <v/>
      </c>
    </row>
    <row r="332" spans="1:268" s="31" customFormat="1" x14ac:dyDescent="0.4">
      <c r="A332" s="32"/>
      <c r="B332" s="32"/>
      <c r="C332" s="32"/>
      <c r="D332" s="32"/>
      <c r="E332" s="38"/>
      <c r="F332" s="61"/>
      <c r="G332" s="33"/>
      <c r="H332" s="33"/>
      <c r="I332" s="27" t="str">
        <f t="shared" si="55"/>
        <v/>
      </c>
      <c r="J332" s="33"/>
      <c r="K332" s="28">
        <f t="shared" si="53"/>
        <v>0</v>
      </c>
      <c r="L332" s="28">
        <f>IF(AND($Y332&lt;&gt;"",$X332&lt;&gt;""),MAX(0,ROUND(($X332*$Y332),0)-NETWORKDAYS.INTL($V332,基準日,1)),0)</f>
        <v>0</v>
      </c>
      <c r="M332" s="28">
        <f t="shared" ca="1" si="54"/>
        <v>0</v>
      </c>
      <c r="N332" s="28">
        <f t="shared" ca="1" si="56"/>
        <v>0</v>
      </c>
      <c r="O332" s="34"/>
      <c r="P332" s="34"/>
      <c r="Q332" s="71" t="str" cm="1">
        <f t="array" ref="Q332">IF(SUMPRODUCT(--(B332:E332&lt;&gt;""))&gt;0,"○","")</f>
        <v/>
      </c>
      <c r="R332" s="35"/>
      <c r="S332" s="35"/>
      <c r="T332" s="35"/>
      <c r="U332" s="66"/>
      <c r="V332" s="29" t="str">
        <f t="shared" si="57"/>
        <v/>
      </c>
      <c r="W332" s="29" t="str">
        <f t="shared" si="58"/>
        <v/>
      </c>
      <c r="X332" s="30" t="str">
        <f t="shared" si="59"/>
        <v/>
      </c>
      <c r="Y332" s="36"/>
      <c r="Z332" s="37"/>
      <c r="AA332" s="37"/>
      <c r="JG332" s="31" t="str">
        <f t="shared" si="60"/>
        <v/>
      </c>
      <c r="JH332" s="31" t="str">
        <f t="shared" si="61"/>
        <v/>
      </c>
    </row>
    <row r="333" spans="1:268" s="31" customFormat="1" x14ac:dyDescent="0.4">
      <c r="A333" s="32"/>
      <c r="B333" s="32"/>
      <c r="C333" s="32"/>
      <c r="D333" s="32"/>
      <c r="E333" s="38"/>
      <c r="F333" s="61"/>
      <c r="G333" s="33"/>
      <c r="H333" s="33"/>
      <c r="I333" s="27" t="str">
        <f t="shared" si="55"/>
        <v/>
      </c>
      <c r="J333" s="33"/>
      <c r="K333" s="28">
        <f t="shared" si="53"/>
        <v>0</v>
      </c>
      <c r="L333" s="28">
        <f>IF(AND($Y333&lt;&gt;"",$X333&lt;&gt;""),MAX(0,ROUND(($X333*$Y333),0)-NETWORKDAYS.INTL($V333,基準日,1)),0)</f>
        <v>0</v>
      </c>
      <c r="M333" s="28">
        <f t="shared" ca="1" si="54"/>
        <v>0</v>
      </c>
      <c r="N333" s="28">
        <f t="shared" ca="1" si="56"/>
        <v>0</v>
      </c>
      <c r="O333" s="34"/>
      <c r="P333" s="34"/>
      <c r="Q333" s="71" t="str" cm="1">
        <f t="array" ref="Q333">IF(SUMPRODUCT(--(B333:E333&lt;&gt;""))&gt;0,"○","")</f>
        <v/>
      </c>
      <c r="R333" s="35"/>
      <c r="S333" s="35"/>
      <c r="T333" s="35"/>
      <c r="U333" s="66"/>
      <c r="V333" s="29" t="str">
        <f t="shared" si="57"/>
        <v/>
      </c>
      <c r="W333" s="29" t="str">
        <f t="shared" si="58"/>
        <v/>
      </c>
      <c r="X333" s="30" t="str">
        <f t="shared" si="59"/>
        <v/>
      </c>
      <c r="Y333" s="36"/>
      <c r="Z333" s="37"/>
      <c r="AA333" s="37"/>
      <c r="JG333" s="31" t="str">
        <f t="shared" si="60"/>
        <v/>
      </c>
      <c r="JH333" s="31" t="str">
        <f t="shared" si="61"/>
        <v/>
      </c>
    </row>
    <row r="334" spans="1:268" s="31" customFormat="1" x14ac:dyDescent="0.4">
      <c r="A334" s="32"/>
      <c r="B334" s="32"/>
      <c r="C334" s="32"/>
      <c r="D334" s="32"/>
      <c r="E334" s="38"/>
      <c r="F334" s="61"/>
      <c r="G334" s="33"/>
      <c r="H334" s="33"/>
      <c r="I334" s="27" t="str">
        <f t="shared" si="55"/>
        <v/>
      </c>
      <c r="J334" s="33"/>
      <c r="K334" s="28">
        <f t="shared" si="53"/>
        <v>0</v>
      </c>
      <c r="L334" s="28">
        <f>IF(AND($Y334&lt;&gt;"",$X334&lt;&gt;""),MAX(0,ROUND(($X334*$Y334),0)-NETWORKDAYS.INTL($V334,基準日,1)),0)</f>
        <v>0</v>
      </c>
      <c r="M334" s="28">
        <f t="shared" ca="1" si="54"/>
        <v>0</v>
      </c>
      <c r="N334" s="28">
        <f t="shared" ca="1" si="56"/>
        <v>0</v>
      </c>
      <c r="O334" s="34"/>
      <c r="P334" s="34"/>
      <c r="Q334" s="71" t="str" cm="1">
        <f t="array" ref="Q334">IF(SUMPRODUCT(--(B334:E334&lt;&gt;""))&gt;0,"○","")</f>
        <v/>
      </c>
      <c r="R334" s="35"/>
      <c r="S334" s="35"/>
      <c r="T334" s="35"/>
      <c r="U334" s="66"/>
      <c r="V334" s="29" t="str">
        <f t="shared" si="57"/>
        <v/>
      </c>
      <c r="W334" s="29" t="str">
        <f t="shared" si="58"/>
        <v/>
      </c>
      <c r="X334" s="30" t="str">
        <f t="shared" si="59"/>
        <v/>
      </c>
      <c r="Y334" s="36"/>
      <c r="Z334" s="37"/>
      <c r="AA334" s="37"/>
      <c r="JG334" s="31" t="str">
        <f t="shared" si="60"/>
        <v/>
      </c>
      <c r="JH334" s="31" t="str">
        <f t="shared" si="61"/>
        <v/>
      </c>
    </row>
    <row r="335" spans="1:268" s="31" customFormat="1" x14ac:dyDescent="0.4">
      <c r="A335" s="32"/>
      <c r="B335" s="32"/>
      <c r="C335" s="32"/>
      <c r="D335" s="32"/>
      <c r="E335" s="38"/>
      <c r="F335" s="61"/>
      <c r="G335" s="33"/>
      <c r="H335" s="33"/>
      <c r="I335" s="27" t="str">
        <f t="shared" si="55"/>
        <v/>
      </c>
      <c r="J335" s="33"/>
      <c r="K335" s="28">
        <f t="shared" si="53"/>
        <v>0</v>
      </c>
      <c r="L335" s="28">
        <f>IF(AND($Y335&lt;&gt;"",$X335&lt;&gt;""),MAX(0,ROUND(($X335*$Y335),0)-NETWORKDAYS.INTL($V335,基準日,1)),0)</f>
        <v>0</v>
      </c>
      <c r="M335" s="28">
        <f t="shared" ca="1" si="54"/>
        <v>0</v>
      </c>
      <c r="N335" s="28">
        <f t="shared" ca="1" si="56"/>
        <v>0</v>
      </c>
      <c r="O335" s="34"/>
      <c r="P335" s="34"/>
      <c r="Q335" s="71" t="str" cm="1">
        <f t="array" ref="Q335">IF(SUMPRODUCT(--(B335:E335&lt;&gt;""))&gt;0,"○","")</f>
        <v/>
      </c>
      <c r="R335" s="35"/>
      <c r="S335" s="35"/>
      <c r="T335" s="35"/>
      <c r="U335" s="66"/>
      <c r="V335" s="29" t="str">
        <f t="shared" si="57"/>
        <v/>
      </c>
      <c r="W335" s="29" t="str">
        <f t="shared" si="58"/>
        <v/>
      </c>
      <c r="X335" s="30" t="str">
        <f t="shared" si="59"/>
        <v/>
      </c>
      <c r="Y335" s="36"/>
      <c r="Z335" s="37"/>
      <c r="AA335" s="37"/>
      <c r="JG335" s="31" t="str">
        <f t="shared" si="60"/>
        <v/>
      </c>
      <c r="JH335" s="31" t="str">
        <f t="shared" si="61"/>
        <v/>
      </c>
    </row>
    <row r="336" spans="1:268" s="31" customFormat="1" x14ac:dyDescent="0.4">
      <c r="A336" s="32"/>
      <c r="B336" s="32"/>
      <c r="C336" s="32"/>
      <c r="D336" s="32"/>
      <c r="E336" s="38"/>
      <c r="F336" s="61"/>
      <c r="G336" s="33"/>
      <c r="H336" s="33"/>
      <c r="I336" s="27" t="str">
        <f t="shared" si="55"/>
        <v/>
      </c>
      <c r="J336" s="33"/>
      <c r="K336" s="28">
        <f t="shared" si="53"/>
        <v>0</v>
      </c>
      <c r="L336" s="28">
        <f>IF(AND($Y336&lt;&gt;"",$X336&lt;&gt;""),MAX(0,ROUND(($X336*$Y336),0)-NETWORKDAYS.INTL($V336,基準日,1)),0)</f>
        <v>0</v>
      </c>
      <c r="M336" s="28">
        <f t="shared" ca="1" si="54"/>
        <v>0</v>
      </c>
      <c r="N336" s="28">
        <f t="shared" ca="1" si="56"/>
        <v>0</v>
      </c>
      <c r="O336" s="34"/>
      <c r="P336" s="34"/>
      <c r="Q336" s="71" t="str" cm="1">
        <f t="array" ref="Q336">IF(SUMPRODUCT(--(B336:E336&lt;&gt;""))&gt;0,"○","")</f>
        <v/>
      </c>
      <c r="R336" s="35"/>
      <c r="S336" s="35"/>
      <c r="T336" s="35"/>
      <c r="U336" s="66"/>
      <c r="V336" s="29" t="str">
        <f t="shared" si="57"/>
        <v/>
      </c>
      <c r="W336" s="29" t="str">
        <f t="shared" si="58"/>
        <v/>
      </c>
      <c r="X336" s="30" t="str">
        <f t="shared" si="59"/>
        <v/>
      </c>
      <c r="Y336" s="36"/>
      <c r="Z336" s="37"/>
      <c r="AA336" s="37"/>
      <c r="JG336" s="31" t="str">
        <f t="shared" si="60"/>
        <v/>
      </c>
      <c r="JH336" s="31" t="str">
        <f t="shared" si="61"/>
        <v/>
      </c>
    </row>
    <row r="337" spans="1:268" s="31" customFormat="1" x14ac:dyDescent="0.4">
      <c r="A337" s="32"/>
      <c r="B337" s="32"/>
      <c r="C337" s="32"/>
      <c r="D337" s="32"/>
      <c r="E337" s="38"/>
      <c r="F337" s="61"/>
      <c r="G337" s="33"/>
      <c r="H337" s="33"/>
      <c r="I337" s="27" t="str">
        <f t="shared" si="55"/>
        <v/>
      </c>
      <c r="J337" s="33"/>
      <c r="K337" s="28">
        <f t="shared" si="53"/>
        <v>0</v>
      </c>
      <c r="L337" s="28">
        <f>IF(AND($Y337&lt;&gt;"",$X337&lt;&gt;""),MAX(0,ROUND(($X337*$Y337),0)-NETWORKDAYS.INTL($V337,基準日,1)),0)</f>
        <v>0</v>
      </c>
      <c r="M337" s="28">
        <f t="shared" ca="1" si="54"/>
        <v>0</v>
      </c>
      <c r="N337" s="28">
        <f t="shared" ca="1" si="56"/>
        <v>0</v>
      </c>
      <c r="O337" s="34"/>
      <c r="P337" s="34"/>
      <c r="Q337" s="71" t="str" cm="1">
        <f t="array" ref="Q337">IF(SUMPRODUCT(--(B337:E337&lt;&gt;""))&gt;0,"○","")</f>
        <v/>
      </c>
      <c r="R337" s="35"/>
      <c r="S337" s="35"/>
      <c r="T337" s="35"/>
      <c r="U337" s="66"/>
      <c r="V337" s="29" t="str">
        <f t="shared" si="57"/>
        <v/>
      </c>
      <c r="W337" s="29" t="str">
        <f t="shared" si="58"/>
        <v/>
      </c>
      <c r="X337" s="30" t="str">
        <f t="shared" si="59"/>
        <v/>
      </c>
      <c r="Y337" s="36"/>
      <c r="Z337" s="37"/>
      <c r="AA337" s="37"/>
      <c r="JG337" s="31" t="str">
        <f t="shared" si="60"/>
        <v/>
      </c>
      <c r="JH337" s="31" t="str">
        <f t="shared" si="61"/>
        <v/>
      </c>
    </row>
    <row r="338" spans="1:268" s="31" customFormat="1" x14ac:dyDescent="0.4">
      <c r="A338" s="32"/>
      <c r="B338" s="32"/>
      <c r="C338" s="32"/>
      <c r="D338" s="32"/>
      <c r="E338" s="38"/>
      <c r="F338" s="61"/>
      <c r="G338" s="33"/>
      <c r="H338" s="33"/>
      <c r="I338" s="27" t="str">
        <f t="shared" si="55"/>
        <v/>
      </c>
      <c r="J338" s="33"/>
      <c r="K338" s="28">
        <f t="shared" si="53"/>
        <v>0</v>
      </c>
      <c r="L338" s="28">
        <f>IF(AND($Y338&lt;&gt;"",$X338&lt;&gt;""),MAX(0,ROUND(($X338*$Y338),0)-NETWORKDAYS.INTL($V338,基準日,1)),0)</f>
        <v>0</v>
      </c>
      <c r="M338" s="28">
        <f t="shared" ca="1" si="54"/>
        <v>0</v>
      </c>
      <c r="N338" s="28">
        <f t="shared" ca="1" si="56"/>
        <v>0</v>
      </c>
      <c r="O338" s="34"/>
      <c r="P338" s="34"/>
      <c r="Q338" s="71" t="str" cm="1">
        <f t="array" ref="Q338">IF(SUMPRODUCT(--(B338:E338&lt;&gt;""))&gt;0,"○","")</f>
        <v/>
      </c>
      <c r="R338" s="35"/>
      <c r="S338" s="35"/>
      <c r="T338" s="35"/>
      <c r="U338" s="66"/>
      <c r="V338" s="29" t="str">
        <f t="shared" si="57"/>
        <v/>
      </c>
      <c r="W338" s="29" t="str">
        <f t="shared" si="58"/>
        <v/>
      </c>
      <c r="X338" s="30" t="str">
        <f t="shared" si="59"/>
        <v/>
      </c>
      <c r="Y338" s="36"/>
      <c r="Z338" s="37"/>
      <c r="AA338" s="37"/>
      <c r="JG338" s="31" t="str">
        <f t="shared" si="60"/>
        <v/>
      </c>
      <c r="JH338" s="31" t="str">
        <f t="shared" si="61"/>
        <v/>
      </c>
    </row>
    <row r="339" spans="1:268" s="31" customFormat="1" x14ac:dyDescent="0.4">
      <c r="A339" s="32"/>
      <c r="B339" s="32"/>
      <c r="C339" s="32"/>
      <c r="D339" s="32"/>
      <c r="E339" s="38"/>
      <c r="F339" s="61"/>
      <c r="G339" s="33"/>
      <c r="H339" s="33"/>
      <c r="I339" s="27" t="str">
        <f t="shared" si="55"/>
        <v/>
      </c>
      <c r="J339" s="33"/>
      <c r="K339" s="28">
        <f t="shared" si="53"/>
        <v>0</v>
      </c>
      <c r="L339" s="28">
        <f>IF(AND($Y339&lt;&gt;"",$X339&lt;&gt;""),MAX(0,ROUND(($X339*$Y339),0)-NETWORKDAYS.INTL($V339,基準日,1)),0)</f>
        <v>0</v>
      </c>
      <c r="M339" s="28">
        <f t="shared" ca="1" si="54"/>
        <v>0</v>
      </c>
      <c r="N339" s="28">
        <f t="shared" ca="1" si="56"/>
        <v>0</v>
      </c>
      <c r="O339" s="34"/>
      <c r="P339" s="34"/>
      <c r="Q339" s="71" t="str" cm="1">
        <f t="array" ref="Q339">IF(SUMPRODUCT(--(B339:E339&lt;&gt;""))&gt;0,"○","")</f>
        <v/>
      </c>
      <c r="R339" s="35"/>
      <c r="S339" s="35"/>
      <c r="T339" s="35"/>
      <c r="U339" s="66"/>
      <c r="V339" s="29" t="str">
        <f t="shared" si="57"/>
        <v/>
      </c>
      <c r="W339" s="29" t="str">
        <f t="shared" si="58"/>
        <v/>
      </c>
      <c r="X339" s="30" t="str">
        <f t="shared" si="59"/>
        <v/>
      </c>
      <c r="Y339" s="36"/>
      <c r="Z339" s="37"/>
      <c r="AA339" s="37"/>
      <c r="JG339" s="31" t="str">
        <f t="shared" si="60"/>
        <v/>
      </c>
      <c r="JH339" s="31" t="str">
        <f t="shared" si="61"/>
        <v/>
      </c>
    </row>
    <row r="340" spans="1:268" s="31" customFormat="1" x14ac:dyDescent="0.4">
      <c r="A340" s="32"/>
      <c r="B340" s="32"/>
      <c r="C340" s="32"/>
      <c r="D340" s="32"/>
      <c r="E340" s="38"/>
      <c r="F340" s="61"/>
      <c r="G340" s="33"/>
      <c r="H340" s="33"/>
      <c r="I340" s="27" t="str">
        <f t="shared" si="55"/>
        <v/>
      </c>
      <c r="J340" s="33"/>
      <c r="K340" s="28">
        <f t="shared" si="53"/>
        <v>0</v>
      </c>
      <c r="L340" s="28">
        <f>IF(AND($Y340&lt;&gt;"",$X340&lt;&gt;""),MAX(0,ROUND(($X340*$Y340),0)-NETWORKDAYS.INTL($V340,基準日,1)),0)</f>
        <v>0</v>
      </c>
      <c r="M340" s="28">
        <f t="shared" ca="1" si="54"/>
        <v>0</v>
      </c>
      <c r="N340" s="28">
        <f t="shared" ca="1" si="56"/>
        <v>0</v>
      </c>
      <c r="O340" s="34"/>
      <c r="P340" s="34"/>
      <c r="Q340" s="71" t="str" cm="1">
        <f t="array" ref="Q340">IF(SUMPRODUCT(--(B340:E340&lt;&gt;""))&gt;0,"○","")</f>
        <v/>
      </c>
      <c r="R340" s="35"/>
      <c r="S340" s="35"/>
      <c r="T340" s="35"/>
      <c r="U340" s="66"/>
      <c r="V340" s="29" t="str">
        <f t="shared" si="57"/>
        <v/>
      </c>
      <c r="W340" s="29" t="str">
        <f t="shared" si="58"/>
        <v/>
      </c>
      <c r="X340" s="30" t="str">
        <f t="shared" si="59"/>
        <v/>
      </c>
      <c r="Y340" s="36"/>
      <c r="Z340" s="37"/>
      <c r="AA340" s="37"/>
      <c r="JG340" s="31" t="str">
        <f t="shared" si="60"/>
        <v/>
      </c>
      <c r="JH340" s="31" t="str">
        <f t="shared" si="61"/>
        <v/>
      </c>
    </row>
    <row r="341" spans="1:268" s="31" customFormat="1" x14ac:dyDescent="0.4">
      <c r="A341" s="32"/>
      <c r="B341" s="32"/>
      <c r="C341" s="32"/>
      <c r="D341" s="32"/>
      <c r="E341" s="38"/>
      <c r="F341" s="61"/>
      <c r="G341" s="33"/>
      <c r="H341" s="33"/>
      <c r="I341" s="27" t="str">
        <f t="shared" si="55"/>
        <v/>
      </c>
      <c r="J341" s="33"/>
      <c r="K341" s="28">
        <f t="shared" si="53"/>
        <v>0</v>
      </c>
      <c r="L341" s="28">
        <f>IF(AND($Y341&lt;&gt;"",$X341&lt;&gt;""),MAX(0,ROUND(($X341*$Y341),0)-NETWORKDAYS.INTL($V341,基準日,1)),0)</f>
        <v>0</v>
      </c>
      <c r="M341" s="28">
        <f t="shared" ca="1" si="54"/>
        <v>0</v>
      </c>
      <c r="N341" s="28">
        <f t="shared" ca="1" si="56"/>
        <v>0</v>
      </c>
      <c r="O341" s="34"/>
      <c r="P341" s="34"/>
      <c r="Q341" s="71" t="str" cm="1">
        <f t="array" ref="Q341">IF(SUMPRODUCT(--(B341:E341&lt;&gt;""))&gt;0,"○","")</f>
        <v/>
      </c>
      <c r="R341" s="35"/>
      <c r="S341" s="35"/>
      <c r="T341" s="35"/>
      <c r="U341" s="66"/>
      <c r="V341" s="29" t="str">
        <f t="shared" si="57"/>
        <v/>
      </c>
      <c r="W341" s="29" t="str">
        <f t="shared" si="58"/>
        <v/>
      </c>
      <c r="X341" s="30" t="str">
        <f t="shared" si="59"/>
        <v/>
      </c>
      <c r="Y341" s="36"/>
      <c r="Z341" s="37"/>
      <c r="AA341" s="37"/>
      <c r="JG341" s="31" t="str">
        <f t="shared" si="60"/>
        <v/>
      </c>
      <c r="JH341" s="31" t="str">
        <f t="shared" si="61"/>
        <v/>
      </c>
    </row>
    <row r="342" spans="1:268" s="31" customFormat="1" x14ac:dyDescent="0.4">
      <c r="A342" s="32"/>
      <c r="B342" s="32"/>
      <c r="C342" s="32"/>
      <c r="D342" s="32"/>
      <c r="E342" s="38"/>
      <c r="F342" s="61"/>
      <c r="G342" s="33"/>
      <c r="H342" s="33"/>
      <c r="I342" s="27" t="str">
        <f t="shared" si="55"/>
        <v/>
      </c>
      <c r="J342" s="33"/>
      <c r="K342" s="28">
        <f t="shared" si="53"/>
        <v>0</v>
      </c>
      <c r="L342" s="28">
        <f>IF(AND($Y342&lt;&gt;"",$X342&lt;&gt;""),MAX(0,ROUND(($X342*$Y342),0)-NETWORKDAYS.INTL($V342,基準日,1)),0)</f>
        <v>0</v>
      </c>
      <c r="M342" s="28">
        <f t="shared" ca="1" si="54"/>
        <v>0</v>
      </c>
      <c r="N342" s="28">
        <f t="shared" ca="1" si="56"/>
        <v>0</v>
      </c>
      <c r="O342" s="34"/>
      <c r="P342" s="34"/>
      <c r="Q342" s="71" t="str" cm="1">
        <f t="array" ref="Q342">IF(SUMPRODUCT(--(B342:E342&lt;&gt;""))&gt;0,"○","")</f>
        <v/>
      </c>
      <c r="R342" s="35"/>
      <c r="S342" s="35"/>
      <c r="T342" s="35"/>
      <c r="U342" s="66"/>
      <c r="V342" s="29" t="str">
        <f t="shared" si="57"/>
        <v/>
      </c>
      <c r="W342" s="29" t="str">
        <f t="shared" si="58"/>
        <v/>
      </c>
      <c r="X342" s="30" t="str">
        <f t="shared" si="59"/>
        <v/>
      </c>
      <c r="Y342" s="36"/>
      <c r="Z342" s="37"/>
      <c r="AA342" s="37"/>
      <c r="JG342" s="31" t="str">
        <f t="shared" si="60"/>
        <v/>
      </c>
      <c r="JH342" s="31" t="str">
        <f t="shared" si="61"/>
        <v/>
      </c>
    </row>
    <row r="343" spans="1:268" s="31" customFormat="1" x14ac:dyDescent="0.4">
      <c r="A343" s="32"/>
      <c r="B343" s="32"/>
      <c r="C343" s="32"/>
      <c r="D343" s="32"/>
      <c r="E343" s="38"/>
      <c r="F343" s="61"/>
      <c r="G343" s="33"/>
      <c r="H343" s="33"/>
      <c r="I343" s="27" t="str">
        <f t="shared" si="55"/>
        <v/>
      </c>
      <c r="J343" s="33"/>
      <c r="K343" s="28">
        <f t="shared" si="53"/>
        <v>0</v>
      </c>
      <c r="L343" s="28">
        <f>IF(AND($Y343&lt;&gt;"",$X343&lt;&gt;""),MAX(0,ROUND(($X343*$Y343),0)-NETWORKDAYS.INTL($V343,基準日,1)),0)</f>
        <v>0</v>
      </c>
      <c r="M343" s="28">
        <f t="shared" ca="1" si="54"/>
        <v>0</v>
      </c>
      <c r="N343" s="28">
        <f t="shared" ca="1" si="56"/>
        <v>0</v>
      </c>
      <c r="O343" s="34"/>
      <c r="P343" s="34"/>
      <c r="Q343" s="71" t="str" cm="1">
        <f t="array" ref="Q343">IF(SUMPRODUCT(--(B343:E343&lt;&gt;""))&gt;0,"○","")</f>
        <v/>
      </c>
      <c r="R343" s="35"/>
      <c r="S343" s="35"/>
      <c r="T343" s="35"/>
      <c r="U343" s="66"/>
      <c r="V343" s="29" t="str">
        <f t="shared" si="57"/>
        <v/>
      </c>
      <c r="W343" s="29" t="str">
        <f t="shared" si="58"/>
        <v/>
      </c>
      <c r="X343" s="30" t="str">
        <f t="shared" si="59"/>
        <v/>
      </c>
      <c r="Y343" s="36"/>
      <c r="Z343" s="37"/>
      <c r="AA343" s="37"/>
      <c r="JG343" s="31" t="str">
        <f t="shared" si="60"/>
        <v/>
      </c>
      <c r="JH343" s="31" t="str">
        <f t="shared" si="61"/>
        <v/>
      </c>
    </row>
    <row r="344" spans="1:268" s="31" customFormat="1" x14ac:dyDescent="0.4">
      <c r="A344" s="32"/>
      <c r="B344" s="32"/>
      <c r="C344" s="32"/>
      <c r="D344" s="32"/>
      <c r="E344" s="38"/>
      <c r="F344" s="61"/>
      <c r="G344" s="33"/>
      <c r="H344" s="33"/>
      <c r="I344" s="27" t="str">
        <f t="shared" si="55"/>
        <v/>
      </c>
      <c r="J344" s="33"/>
      <c r="K344" s="28">
        <f t="shared" si="53"/>
        <v>0</v>
      </c>
      <c r="L344" s="28">
        <f>IF(AND($Y344&lt;&gt;"",$X344&lt;&gt;""),MAX(0,ROUND(($X344*$Y344),0)-NETWORKDAYS.INTL($V344,基準日,1)),0)</f>
        <v>0</v>
      </c>
      <c r="M344" s="28">
        <f t="shared" ca="1" si="54"/>
        <v>0</v>
      </c>
      <c r="N344" s="28">
        <f t="shared" ca="1" si="56"/>
        <v>0</v>
      </c>
      <c r="O344" s="34"/>
      <c r="P344" s="34"/>
      <c r="Q344" s="71" t="str" cm="1">
        <f t="array" ref="Q344">IF(SUMPRODUCT(--(B344:E344&lt;&gt;""))&gt;0,"○","")</f>
        <v/>
      </c>
      <c r="R344" s="35"/>
      <c r="S344" s="35"/>
      <c r="T344" s="35"/>
      <c r="U344" s="66"/>
      <c r="V344" s="29" t="str">
        <f t="shared" si="57"/>
        <v/>
      </c>
      <c r="W344" s="29" t="str">
        <f t="shared" si="58"/>
        <v/>
      </c>
      <c r="X344" s="30" t="str">
        <f t="shared" si="59"/>
        <v/>
      </c>
      <c r="Y344" s="36"/>
      <c r="Z344" s="37"/>
      <c r="AA344" s="37"/>
      <c r="JG344" s="31" t="str">
        <f t="shared" si="60"/>
        <v/>
      </c>
      <c r="JH344" s="31" t="str">
        <f t="shared" si="61"/>
        <v/>
      </c>
    </row>
    <row r="345" spans="1:268" s="31" customFormat="1" x14ac:dyDescent="0.4">
      <c r="A345" s="32"/>
      <c r="B345" s="32"/>
      <c r="C345" s="32"/>
      <c r="D345" s="32"/>
      <c r="E345" s="38"/>
      <c r="F345" s="61"/>
      <c r="G345" s="33"/>
      <c r="H345" s="33"/>
      <c r="I345" s="27" t="str">
        <f t="shared" si="55"/>
        <v/>
      </c>
      <c r="J345" s="33"/>
      <c r="K345" s="28">
        <f t="shared" si="53"/>
        <v>0</v>
      </c>
      <c r="L345" s="28">
        <f>IF(AND($Y345&lt;&gt;"",$X345&lt;&gt;""),MAX(0,ROUND(($X345*$Y345),0)-NETWORKDAYS.INTL($V345,基準日,1)),0)</f>
        <v>0</v>
      </c>
      <c r="M345" s="28">
        <f t="shared" ca="1" si="54"/>
        <v>0</v>
      </c>
      <c r="N345" s="28">
        <f t="shared" ca="1" si="56"/>
        <v>0</v>
      </c>
      <c r="O345" s="34"/>
      <c r="P345" s="34"/>
      <c r="Q345" s="71" t="str" cm="1">
        <f t="array" ref="Q345">IF(SUMPRODUCT(--(B345:E345&lt;&gt;""))&gt;0,"○","")</f>
        <v/>
      </c>
      <c r="R345" s="35"/>
      <c r="S345" s="35"/>
      <c r="T345" s="35"/>
      <c r="U345" s="66"/>
      <c r="V345" s="29" t="str">
        <f t="shared" si="57"/>
        <v/>
      </c>
      <c r="W345" s="29" t="str">
        <f t="shared" si="58"/>
        <v/>
      </c>
      <c r="X345" s="30" t="str">
        <f t="shared" si="59"/>
        <v/>
      </c>
      <c r="Y345" s="36"/>
      <c r="Z345" s="37"/>
      <c r="AA345" s="37"/>
      <c r="JG345" s="31" t="str">
        <f t="shared" si="60"/>
        <v/>
      </c>
      <c r="JH345" s="31" t="str">
        <f t="shared" si="61"/>
        <v/>
      </c>
    </row>
    <row r="346" spans="1:268" s="31" customFormat="1" x14ac:dyDescent="0.4">
      <c r="A346" s="32"/>
      <c r="B346" s="32"/>
      <c r="C346" s="32"/>
      <c r="D346" s="32"/>
      <c r="E346" s="38"/>
      <c r="F346" s="61"/>
      <c r="G346" s="33"/>
      <c r="H346" s="33"/>
      <c r="I346" s="27" t="str">
        <f t="shared" si="55"/>
        <v/>
      </c>
      <c r="J346" s="33"/>
      <c r="K346" s="28">
        <f t="shared" si="53"/>
        <v>0</v>
      </c>
      <c r="L346" s="28">
        <f>IF(AND($Y346&lt;&gt;"",$X346&lt;&gt;""),MAX(0,ROUND(($X346*$Y346),0)-NETWORKDAYS.INTL($V346,基準日,1)),0)</f>
        <v>0</v>
      </c>
      <c r="M346" s="28">
        <f t="shared" ca="1" si="54"/>
        <v>0</v>
      </c>
      <c r="N346" s="28">
        <f t="shared" ca="1" si="56"/>
        <v>0</v>
      </c>
      <c r="O346" s="34"/>
      <c r="P346" s="34"/>
      <c r="Q346" s="71" t="str" cm="1">
        <f t="array" ref="Q346">IF(SUMPRODUCT(--(B346:E346&lt;&gt;""))&gt;0,"○","")</f>
        <v/>
      </c>
      <c r="R346" s="35"/>
      <c r="S346" s="35"/>
      <c r="T346" s="35"/>
      <c r="U346" s="66"/>
      <c r="V346" s="29" t="str">
        <f t="shared" si="57"/>
        <v/>
      </c>
      <c r="W346" s="29" t="str">
        <f t="shared" si="58"/>
        <v/>
      </c>
      <c r="X346" s="30" t="str">
        <f t="shared" si="59"/>
        <v/>
      </c>
      <c r="Y346" s="36"/>
      <c r="Z346" s="37"/>
      <c r="AA346" s="37"/>
      <c r="JG346" s="31" t="str">
        <f t="shared" si="60"/>
        <v/>
      </c>
      <c r="JH346" s="31" t="str">
        <f t="shared" si="61"/>
        <v/>
      </c>
    </row>
    <row r="347" spans="1:268" s="31" customFormat="1" x14ac:dyDescent="0.4">
      <c r="A347" s="32"/>
      <c r="B347" s="32"/>
      <c r="C347" s="32"/>
      <c r="D347" s="32"/>
      <c r="E347" s="38"/>
      <c r="F347" s="61"/>
      <c r="G347" s="33"/>
      <c r="H347" s="33"/>
      <c r="I347" s="27" t="str">
        <f t="shared" si="55"/>
        <v/>
      </c>
      <c r="J347" s="33"/>
      <c r="K347" s="28">
        <f t="shared" si="53"/>
        <v>0</v>
      </c>
      <c r="L347" s="28">
        <f>IF(AND($Y347&lt;&gt;"",$X347&lt;&gt;""),MAX(0,ROUND(($X347*$Y347),0)-NETWORKDAYS.INTL($V347,基準日,1)),0)</f>
        <v>0</v>
      </c>
      <c r="M347" s="28">
        <f t="shared" ca="1" si="54"/>
        <v>0</v>
      </c>
      <c r="N347" s="28">
        <f t="shared" ca="1" si="56"/>
        <v>0</v>
      </c>
      <c r="O347" s="34"/>
      <c r="P347" s="34"/>
      <c r="Q347" s="71" t="str" cm="1">
        <f t="array" ref="Q347">IF(SUMPRODUCT(--(B347:E347&lt;&gt;""))&gt;0,"○","")</f>
        <v/>
      </c>
      <c r="R347" s="35"/>
      <c r="S347" s="35"/>
      <c r="T347" s="35"/>
      <c r="U347" s="66"/>
      <c r="V347" s="29" t="str">
        <f t="shared" si="57"/>
        <v/>
      </c>
      <c r="W347" s="29" t="str">
        <f t="shared" si="58"/>
        <v/>
      </c>
      <c r="X347" s="30" t="str">
        <f t="shared" si="59"/>
        <v/>
      </c>
      <c r="Y347" s="36"/>
      <c r="Z347" s="37"/>
      <c r="AA347" s="37"/>
      <c r="JG347" s="31" t="str">
        <f t="shared" si="60"/>
        <v/>
      </c>
      <c r="JH347" s="31" t="str">
        <f t="shared" si="61"/>
        <v/>
      </c>
    </row>
    <row r="348" spans="1:268" s="31" customFormat="1" x14ac:dyDescent="0.4">
      <c r="A348" s="32"/>
      <c r="B348" s="32"/>
      <c r="C348" s="32"/>
      <c r="D348" s="32"/>
      <c r="E348" s="38"/>
      <c r="F348" s="61"/>
      <c r="G348" s="33"/>
      <c r="H348" s="33"/>
      <c r="I348" s="27" t="str">
        <f t="shared" si="55"/>
        <v/>
      </c>
      <c r="J348" s="33"/>
      <c r="K348" s="28">
        <f t="shared" si="53"/>
        <v>0</v>
      </c>
      <c r="L348" s="28">
        <f>IF(AND($Y348&lt;&gt;"",$X348&lt;&gt;""),MAX(0,ROUND(($X348*$Y348),0)-NETWORKDAYS.INTL($V348,基準日,1)),0)</f>
        <v>0</v>
      </c>
      <c r="M348" s="28">
        <f t="shared" ca="1" si="54"/>
        <v>0</v>
      </c>
      <c r="N348" s="28">
        <f t="shared" ca="1" si="56"/>
        <v>0</v>
      </c>
      <c r="O348" s="34"/>
      <c r="P348" s="34"/>
      <c r="Q348" s="71" t="str" cm="1">
        <f t="array" ref="Q348">IF(SUMPRODUCT(--(B348:E348&lt;&gt;""))&gt;0,"○","")</f>
        <v/>
      </c>
      <c r="R348" s="35"/>
      <c r="S348" s="35"/>
      <c r="T348" s="35"/>
      <c r="U348" s="66"/>
      <c r="V348" s="29" t="str">
        <f t="shared" si="57"/>
        <v/>
      </c>
      <c r="W348" s="29" t="str">
        <f t="shared" si="58"/>
        <v/>
      </c>
      <c r="X348" s="30" t="str">
        <f t="shared" si="59"/>
        <v/>
      </c>
      <c r="Y348" s="36"/>
      <c r="Z348" s="37"/>
      <c r="AA348" s="37"/>
      <c r="JG348" s="31" t="str">
        <f t="shared" si="60"/>
        <v/>
      </c>
      <c r="JH348" s="31" t="str">
        <f t="shared" si="61"/>
        <v/>
      </c>
    </row>
    <row r="349" spans="1:268" s="31" customFormat="1" x14ac:dyDescent="0.4">
      <c r="A349" s="32"/>
      <c r="B349" s="32"/>
      <c r="C349" s="32"/>
      <c r="D349" s="32"/>
      <c r="E349" s="38"/>
      <c r="F349" s="61"/>
      <c r="G349" s="33"/>
      <c r="H349" s="33"/>
      <c r="I349" s="27" t="str">
        <f t="shared" si="55"/>
        <v/>
      </c>
      <c r="J349" s="33"/>
      <c r="K349" s="28">
        <f t="shared" si="53"/>
        <v>0</v>
      </c>
      <c r="L349" s="28">
        <f>IF(AND($Y349&lt;&gt;"",$X349&lt;&gt;""),MAX(0,ROUND(($X349*$Y349),0)-NETWORKDAYS.INTL($V349,基準日,1)),0)</f>
        <v>0</v>
      </c>
      <c r="M349" s="28">
        <f t="shared" ca="1" si="54"/>
        <v>0</v>
      </c>
      <c r="N349" s="28">
        <f t="shared" ca="1" si="56"/>
        <v>0</v>
      </c>
      <c r="O349" s="34"/>
      <c r="P349" s="34"/>
      <c r="Q349" s="71" t="str" cm="1">
        <f t="array" ref="Q349">IF(SUMPRODUCT(--(B349:E349&lt;&gt;""))&gt;0,"○","")</f>
        <v/>
      </c>
      <c r="R349" s="35"/>
      <c r="S349" s="35"/>
      <c r="T349" s="35"/>
      <c r="U349" s="66"/>
      <c r="V349" s="29" t="str">
        <f t="shared" si="57"/>
        <v/>
      </c>
      <c r="W349" s="29" t="str">
        <f t="shared" si="58"/>
        <v/>
      </c>
      <c r="X349" s="30" t="str">
        <f t="shared" si="59"/>
        <v/>
      </c>
      <c r="Y349" s="36"/>
      <c r="Z349" s="37"/>
      <c r="AA349" s="37"/>
      <c r="JG349" s="31" t="str">
        <f t="shared" si="60"/>
        <v/>
      </c>
      <c r="JH349" s="31" t="str">
        <f t="shared" si="61"/>
        <v/>
      </c>
    </row>
    <row r="350" spans="1:268" s="31" customFormat="1" x14ac:dyDescent="0.4">
      <c r="A350" s="32"/>
      <c r="B350" s="32"/>
      <c r="C350" s="32"/>
      <c r="D350" s="32"/>
      <c r="E350" s="38"/>
      <c r="F350" s="61"/>
      <c r="G350" s="33"/>
      <c r="H350" s="33"/>
      <c r="I350" s="27" t="str">
        <f t="shared" si="55"/>
        <v/>
      </c>
      <c r="J350" s="33"/>
      <c r="K350" s="28">
        <f t="shared" si="53"/>
        <v>0</v>
      </c>
      <c r="L350" s="28">
        <f>IF(AND($Y350&lt;&gt;"",$X350&lt;&gt;""),MAX(0,ROUND(($X350*$Y350),0)-NETWORKDAYS.INTL($V350,基準日,1)),0)</f>
        <v>0</v>
      </c>
      <c r="M350" s="28">
        <f t="shared" ca="1" si="54"/>
        <v>0</v>
      </c>
      <c r="N350" s="28">
        <f t="shared" ca="1" si="56"/>
        <v>0</v>
      </c>
      <c r="O350" s="34"/>
      <c r="P350" s="34"/>
      <c r="Q350" s="71" t="str" cm="1">
        <f t="array" ref="Q350">IF(SUMPRODUCT(--(B350:E350&lt;&gt;""))&gt;0,"○","")</f>
        <v/>
      </c>
      <c r="R350" s="35"/>
      <c r="S350" s="35"/>
      <c r="T350" s="35"/>
      <c r="U350" s="66"/>
      <c r="V350" s="29" t="str">
        <f t="shared" si="57"/>
        <v/>
      </c>
      <c r="W350" s="29" t="str">
        <f t="shared" si="58"/>
        <v/>
      </c>
      <c r="X350" s="30" t="str">
        <f t="shared" si="59"/>
        <v/>
      </c>
      <c r="Y350" s="36"/>
      <c r="Z350" s="37"/>
      <c r="AA350" s="37"/>
      <c r="JG350" s="31" t="str">
        <f t="shared" si="60"/>
        <v/>
      </c>
      <c r="JH350" s="31" t="str">
        <f t="shared" si="61"/>
        <v/>
      </c>
    </row>
    <row r="351" spans="1:268" s="31" customFormat="1" x14ac:dyDescent="0.4">
      <c r="A351" s="32"/>
      <c r="B351" s="32"/>
      <c r="C351" s="32"/>
      <c r="D351" s="32"/>
      <c r="E351" s="38"/>
      <c r="F351" s="61"/>
      <c r="G351" s="33"/>
      <c r="H351" s="33"/>
      <c r="I351" s="27" t="str">
        <f t="shared" si="55"/>
        <v/>
      </c>
      <c r="J351" s="33"/>
      <c r="K351" s="28">
        <f t="shared" si="53"/>
        <v>0</v>
      </c>
      <c r="L351" s="28">
        <f>IF(AND($Y351&lt;&gt;"",$X351&lt;&gt;""),MAX(0,ROUND(($X351*$Y351),0)-NETWORKDAYS.INTL($V351,基準日,1)),0)</f>
        <v>0</v>
      </c>
      <c r="M351" s="28">
        <f t="shared" ca="1" si="54"/>
        <v>0</v>
      </c>
      <c r="N351" s="28">
        <f t="shared" ca="1" si="56"/>
        <v>0</v>
      </c>
      <c r="O351" s="34"/>
      <c r="P351" s="34"/>
      <c r="Q351" s="71" t="str" cm="1">
        <f t="array" ref="Q351">IF(SUMPRODUCT(--(B351:E351&lt;&gt;""))&gt;0,"○","")</f>
        <v/>
      </c>
      <c r="R351" s="35"/>
      <c r="S351" s="35"/>
      <c r="T351" s="35"/>
      <c r="U351" s="66"/>
      <c r="V351" s="29" t="str">
        <f t="shared" si="57"/>
        <v/>
      </c>
      <c r="W351" s="29" t="str">
        <f t="shared" si="58"/>
        <v/>
      </c>
      <c r="X351" s="30" t="str">
        <f t="shared" si="59"/>
        <v/>
      </c>
      <c r="Y351" s="36"/>
      <c r="Z351" s="37"/>
      <c r="AA351" s="37"/>
      <c r="JG351" s="31" t="str">
        <f t="shared" si="60"/>
        <v/>
      </c>
      <c r="JH351" s="31" t="str">
        <f t="shared" si="61"/>
        <v/>
      </c>
    </row>
    <row r="352" spans="1:268" s="31" customFormat="1" x14ac:dyDescent="0.4">
      <c r="A352" s="32"/>
      <c r="B352" s="32"/>
      <c r="C352" s="32"/>
      <c r="D352" s="32"/>
      <c r="E352" s="38"/>
      <c r="F352" s="61"/>
      <c r="G352" s="33"/>
      <c r="H352" s="33"/>
      <c r="I352" s="27" t="str">
        <f t="shared" si="55"/>
        <v/>
      </c>
      <c r="J352" s="33"/>
      <c r="K352" s="28">
        <f t="shared" si="53"/>
        <v>0</v>
      </c>
      <c r="L352" s="28">
        <f>IF(AND($Y352&lt;&gt;"",$X352&lt;&gt;""),MAX(0,ROUND(($X352*$Y352),0)-NETWORKDAYS.INTL($V352,基準日,1)),0)</f>
        <v>0</v>
      </c>
      <c r="M352" s="28">
        <f t="shared" ca="1" si="54"/>
        <v>0</v>
      </c>
      <c r="N352" s="28">
        <f t="shared" ca="1" si="56"/>
        <v>0</v>
      </c>
      <c r="O352" s="34"/>
      <c r="P352" s="34"/>
      <c r="Q352" s="71" t="str" cm="1">
        <f t="array" ref="Q352">IF(SUMPRODUCT(--(B352:E352&lt;&gt;""))&gt;0,"○","")</f>
        <v/>
      </c>
      <c r="R352" s="35"/>
      <c r="S352" s="35"/>
      <c r="T352" s="35"/>
      <c r="U352" s="66"/>
      <c r="V352" s="29" t="str">
        <f t="shared" si="57"/>
        <v/>
      </c>
      <c r="W352" s="29" t="str">
        <f t="shared" si="58"/>
        <v/>
      </c>
      <c r="X352" s="30" t="str">
        <f t="shared" si="59"/>
        <v/>
      </c>
      <c r="Y352" s="36"/>
      <c r="Z352" s="37"/>
      <c r="AA352" s="37"/>
      <c r="JG352" s="31" t="str">
        <f t="shared" si="60"/>
        <v/>
      </c>
      <c r="JH352" s="31" t="str">
        <f t="shared" si="61"/>
        <v/>
      </c>
    </row>
    <row r="353" spans="1:268" s="31" customFormat="1" x14ac:dyDescent="0.4">
      <c r="A353" s="32"/>
      <c r="B353" s="32"/>
      <c r="C353" s="32"/>
      <c r="D353" s="32"/>
      <c r="E353" s="38"/>
      <c r="F353" s="61"/>
      <c r="G353" s="33"/>
      <c r="H353" s="33"/>
      <c r="I353" s="27" t="str">
        <f t="shared" si="55"/>
        <v/>
      </c>
      <c r="J353" s="33"/>
      <c r="K353" s="28">
        <f t="shared" si="53"/>
        <v>0</v>
      </c>
      <c r="L353" s="28">
        <f>IF(AND($Y353&lt;&gt;"",$X353&lt;&gt;""),MAX(0,ROUND(($X353*$Y353),0)-NETWORKDAYS.INTL($V353,基準日,1)),0)</f>
        <v>0</v>
      </c>
      <c r="M353" s="28">
        <f t="shared" ca="1" si="54"/>
        <v>0</v>
      </c>
      <c r="N353" s="28">
        <f t="shared" ca="1" si="56"/>
        <v>0</v>
      </c>
      <c r="O353" s="34"/>
      <c r="P353" s="34"/>
      <c r="Q353" s="71" t="str" cm="1">
        <f t="array" ref="Q353">IF(SUMPRODUCT(--(B353:E353&lt;&gt;""))&gt;0,"○","")</f>
        <v/>
      </c>
      <c r="R353" s="35"/>
      <c r="S353" s="35"/>
      <c r="T353" s="35"/>
      <c r="U353" s="66"/>
      <c r="V353" s="29" t="str">
        <f t="shared" si="57"/>
        <v/>
      </c>
      <c r="W353" s="29" t="str">
        <f t="shared" si="58"/>
        <v/>
      </c>
      <c r="X353" s="30" t="str">
        <f t="shared" si="59"/>
        <v/>
      </c>
      <c r="Y353" s="36"/>
      <c r="Z353" s="37"/>
      <c r="AA353" s="37"/>
      <c r="JG353" s="31" t="str">
        <f t="shared" si="60"/>
        <v/>
      </c>
      <c r="JH353" s="31" t="str">
        <f t="shared" si="61"/>
        <v/>
      </c>
    </row>
    <row r="354" spans="1:268" s="31" customFormat="1" x14ac:dyDescent="0.4">
      <c r="A354" s="32"/>
      <c r="B354" s="32"/>
      <c r="C354" s="32"/>
      <c r="D354" s="32"/>
      <c r="E354" s="38"/>
      <c r="F354" s="61"/>
      <c r="G354" s="33"/>
      <c r="H354" s="33"/>
      <c r="I354" s="27" t="str">
        <f t="shared" si="55"/>
        <v/>
      </c>
      <c r="J354" s="33"/>
      <c r="K354" s="28">
        <f t="shared" si="53"/>
        <v>0</v>
      </c>
      <c r="L354" s="28">
        <f>IF(AND($Y354&lt;&gt;"",$X354&lt;&gt;""),MAX(0,ROUND(($X354*$Y354),0)-NETWORKDAYS.INTL($V354,基準日,1)),0)</f>
        <v>0</v>
      </c>
      <c r="M354" s="28">
        <f t="shared" ca="1" si="54"/>
        <v>0</v>
      </c>
      <c r="N354" s="28">
        <f t="shared" ca="1" si="56"/>
        <v>0</v>
      </c>
      <c r="O354" s="34"/>
      <c r="P354" s="34"/>
      <c r="Q354" s="71" t="str" cm="1">
        <f t="array" ref="Q354">IF(SUMPRODUCT(--(B354:E354&lt;&gt;""))&gt;0,"○","")</f>
        <v/>
      </c>
      <c r="R354" s="35"/>
      <c r="S354" s="35"/>
      <c r="T354" s="35"/>
      <c r="U354" s="66"/>
      <c r="V354" s="29" t="str">
        <f t="shared" si="57"/>
        <v/>
      </c>
      <c r="W354" s="29" t="str">
        <f t="shared" si="58"/>
        <v/>
      </c>
      <c r="X354" s="30" t="str">
        <f t="shared" si="59"/>
        <v/>
      </c>
      <c r="Y354" s="36"/>
      <c r="Z354" s="37"/>
      <c r="AA354" s="37"/>
      <c r="JG354" s="31" t="str">
        <f t="shared" si="60"/>
        <v/>
      </c>
      <c r="JH354" s="31" t="str">
        <f t="shared" si="61"/>
        <v/>
      </c>
    </row>
    <row r="355" spans="1:268" s="31" customFormat="1" x14ac:dyDescent="0.4">
      <c r="A355" s="32"/>
      <c r="B355" s="32"/>
      <c r="C355" s="32"/>
      <c r="D355" s="32"/>
      <c r="E355" s="38"/>
      <c r="F355" s="61"/>
      <c r="G355" s="33"/>
      <c r="H355" s="33"/>
      <c r="I355" s="27" t="str">
        <f t="shared" si="55"/>
        <v/>
      </c>
      <c r="J355" s="33"/>
      <c r="K355" s="28">
        <f t="shared" si="53"/>
        <v>0</v>
      </c>
      <c r="L355" s="28">
        <f>IF(AND($Y355&lt;&gt;"",$X355&lt;&gt;""),MAX(0,ROUND(($X355*$Y355),0)-NETWORKDAYS.INTL($V355,基準日,1)),0)</f>
        <v>0</v>
      </c>
      <c r="M355" s="28">
        <f t="shared" ca="1" si="54"/>
        <v>0</v>
      </c>
      <c r="N355" s="28">
        <f t="shared" ca="1" si="56"/>
        <v>0</v>
      </c>
      <c r="O355" s="34"/>
      <c r="P355" s="34"/>
      <c r="Q355" s="71" t="str" cm="1">
        <f t="array" ref="Q355">IF(SUMPRODUCT(--(B355:E355&lt;&gt;""))&gt;0,"○","")</f>
        <v/>
      </c>
      <c r="R355" s="35"/>
      <c r="S355" s="35"/>
      <c r="T355" s="35"/>
      <c r="U355" s="66"/>
      <c r="V355" s="29" t="str">
        <f t="shared" si="57"/>
        <v/>
      </c>
      <c r="W355" s="29" t="str">
        <f t="shared" si="58"/>
        <v/>
      </c>
      <c r="X355" s="30" t="str">
        <f t="shared" si="59"/>
        <v/>
      </c>
      <c r="Y355" s="36"/>
      <c r="Z355" s="37"/>
      <c r="AA355" s="37"/>
      <c r="JG355" s="31" t="str">
        <f t="shared" si="60"/>
        <v/>
      </c>
      <c r="JH355" s="31" t="str">
        <f t="shared" si="61"/>
        <v/>
      </c>
    </row>
    <row r="356" spans="1:268" s="31" customFormat="1" x14ac:dyDescent="0.4">
      <c r="A356" s="32"/>
      <c r="B356" s="32"/>
      <c r="C356" s="32"/>
      <c r="D356" s="32"/>
      <c r="E356" s="38"/>
      <c r="F356" s="61"/>
      <c r="G356" s="33"/>
      <c r="H356" s="33"/>
      <c r="I356" s="27" t="str">
        <f t="shared" si="55"/>
        <v/>
      </c>
      <c r="J356" s="33"/>
      <c r="K356" s="28">
        <f t="shared" si="53"/>
        <v>0</v>
      </c>
      <c r="L356" s="28">
        <f>IF(AND($Y356&lt;&gt;"",$X356&lt;&gt;""),MAX(0,ROUND(($X356*$Y356),0)-NETWORKDAYS.INTL($V356,基準日,1)),0)</f>
        <v>0</v>
      </c>
      <c r="M356" s="28">
        <f t="shared" ca="1" si="54"/>
        <v>0</v>
      </c>
      <c r="N356" s="28">
        <f t="shared" ca="1" si="56"/>
        <v>0</v>
      </c>
      <c r="O356" s="34"/>
      <c r="P356" s="34"/>
      <c r="Q356" s="71" t="str" cm="1">
        <f t="array" ref="Q356">IF(SUMPRODUCT(--(B356:E356&lt;&gt;""))&gt;0,"○","")</f>
        <v/>
      </c>
      <c r="R356" s="35"/>
      <c r="S356" s="35"/>
      <c r="T356" s="35"/>
      <c r="U356" s="66"/>
      <c r="V356" s="29" t="str">
        <f t="shared" si="57"/>
        <v/>
      </c>
      <c r="W356" s="29" t="str">
        <f t="shared" si="58"/>
        <v/>
      </c>
      <c r="X356" s="30" t="str">
        <f t="shared" si="59"/>
        <v/>
      </c>
      <c r="Y356" s="36"/>
      <c r="Z356" s="37"/>
      <c r="AA356" s="37"/>
      <c r="JG356" s="31" t="str">
        <f t="shared" si="60"/>
        <v/>
      </c>
      <c r="JH356" s="31" t="str">
        <f t="shared" si="61"/>
        <v/>
      </c>
    </row>
    <row r="357" spans="1:268" s="31" customFormat="1" x14ac:dyDescent="0.4">
      <c r="A357" s="32"/>
      <c r="B357" s="32"/>
      <c r="C357" s="32"/>
      <c r="D357" s="32"/>
      <c r="E357" s="38"/>
      <c r="F357" s="61"/>
      <c r="G357" s="33"/>
      <c r="H357" s="33"/>
      <c r="I357" s="27" t="str">
        <f t="shared" si="55"/>
        <v/>
      </c>
      <c r="J357" s="33"/>
      <c r="K357" s="28">
        <f t="shared" si="53"/>
        <v>0</v>
      </c>
      <c r="L357" s="28">
        <f>IF(AND($Y357&lt;&gt;"",$X357&lt;&gt;""),MAX(0,ROUND(($X357*$Y357),0)-NETWORKDAYS.INTL($V357,基準日,1)),0)</f>
        <v>0</v>
      </c>
      <c r="M357" s="28">
        <f t="shared" ca="1" si="54"/>
        <v>0</v>
      </c>
      <c r="N357" s="28">
        <f t="shared" ca="1" si="56"/>
        <v>0</v>
      </c>
      <c r="O357" s="34"/>
      <c r="P357" s="34"/>
      <c r="Q357" s="71" t="str" cm="1">
        <f t="array" ref="Q357">IF(SUMPRODUCT(--(B357:E357&lt;&gt;""))&gt;0,"○","")</f>
        <v/>
      </c>
      <c r="R357" s="35"/>
      <c r="S357" s="35"/>
      <c r="T357" s="35"/>
      <c r="U357" s="66"/>
      <c r="V357" s="29" t="str">
        <f t="shared" si="57"/>
        <v/>
      </c>
      <c r="W357" s="29" t="str">
        <f t="shared" si="58"/>
        <v/>
      </c>
      <c r="X357" s="30" t="str">
        <f t="shared" si="59"/>
        <v/>
      </c>
      <c r="Y357" s="36"/>
      <c r="Z357" s="37"/>
      <c r="AA357" s="37"/>
      <c r="JG357" s="31" t="str">
        <f t="shared" si="60"/>
        <v/>
      </c>
      <c r="JH357" s="31" t="str">
        <f t="shared" si="61"/>
        <v/>
      </c>
    </row>
    <row r="358" spans="1:268" s="31" customFormat="1" x14ac:dyDescent="0.4">
      <c r="A358" s="32"/>
      <c r="B358" s="32"/>
      <c r="C358" s="32"/>
      <c r="D358" s="32"/>
      <c r="E358" s="38"/>
      <c r="F358" s="61"/>
      <c r="G358" s="33"/>
      <c r="H358" s="33"/>
      <c r="I358" s="27" t="str">
        <f t="shared" si="55"/>
        <v/>
      </c>
      <c r="J358" s="33"/>
      <c r="K358" s="28">
        <f t="shared" si="53"/>
        <v>0</v>
      </c>
      <c r="L358" s="28">
        <f>IF(AND($Y358&lt;&gt;"",$X358&lt;&gt;""),MAX(0,ROUND(($X358*$Y358),0)-NETWORKDAYS.INTL($V358,基準日,1)),0)</f>
        <v>0</v>
      </c>
      <c r="M358" s="28">
        <f t="shared" ca="1" si="54"/>
        <v>0</v>
      </c>
      <c r="N358" s="28">
        <f t="shared" ca="1" si="56"/>
        <v>0</v>
      </c>
      <c r="O358" s="34"/>
      <c r="P358" s="34"/>
      <c r="Q358" s="71" t="str" cm="1">
        <f t="array" ref="Q358">IF(SUMPRODUCT(--(B358:E358&lt;&gt;""))&gt;0,"○","")</f>
        <v/>
      </c>
      <c r="R358" s="35"/>
      <c r="S358" s="35"/>
      <c r="T358" s="35"/>
      <c r="U358" s="66"/>
      <c r="V358" s="29" t="str">
        <f t="shared" si="57"/>
        <v/>
      </c>
      <c r="W358" s="29" t="str">
        <f t="shared" si="58"/>
        <v/>
      </c>
      <c r="X358" s="30" t="str">
        <f t="shared" si="59"/>
        <v/>
      </c>
      <c r="Y358" s="36"/>
      <c r="Z358" s="37"/>
      <c r="AA358" s="37"/>
      <c r="JG358" s="31" t="str">
        <f t="shared" si="60"/>
        <v/>
      </c>
      <c r="JH358" s="31" t="str">
        <f t="shared" si="61"/>
        <v/>
      </c>
    </row>
    <row r="359" spans="1:268" s="31" customFormat="1" x14ac:dyDescent="0.4">
      <c r="A359" s="32"/>
      <c r="B359" s="32"/>
      <c r="C359" s="32"/>
      <c r="D359" s="32"/>
      <c r="E359" s="38"/>
      <c r="F359" s="61"/>
      <c r="G359" s="33"/>
      <c r="H359" s="33"/>
      <c r="I359" s="27" t="str">
        <f t="shared" si="55"/>
        <v/>
      </c>
      <c r="J359" s="33"/>
      <c r="K359" s="28">
        <f t="shared" si="53"/>
        <v>0</v>
      </c>
      <c r="L359" s="28">
        <f>IF(AND($Y359&lt;&gt;"",$X359&lt;&gt;""),MAX(0,ROUND(($X359*$Y359),0)-NETWORKDAYS.INTL($V359,基準日,1)),0)</f>
        <v>0</v>
      </c>
      <c r="M359" s="28">
        <f t="shared" ca="1" si="54"/>
        <v>0</v>
      </c>
      <c r="N359" s="28">
        <f t="shared" ca="1" si="56"/>
        <v>0</v>
      </c>
      <c r="O359" s="34"/>
      <c r="P359" s="34"/>
      <c r="Q359" s="71" t="str" cm="1">
        <f t="array" ref="Q359">IF(SUMPRODUCT(--(B359:E359&lt;&gt;""))&gt;0,"○","")</f>
        <v/>
      </c>
      <c r="R359" s="35"/>
      <c r="S359" s="35"/>
      <c r="T359" s="35"/>
      <c r="U359" s="66"/>
      <c r="V359" s="29" t="str">
        <f t="shared" si="57"/>
        <v/>
      </c>
      <c r="W359" s="29" t="str">
        <f t="shared" si="58"/>
        <v/>
      </c>
      <c r="X359" s="30" t="str">
        <f t="shared" si="59"/>
        <v/>
      </c>
      <c r="Y359" s="36"/>
      <c r="Z359" s="37"/>
      <c r="AA359" s="37"/>
      <c r="JG359" s="31" t="str">
        <f t="shared" si="60"/>
        <v/>
      </c>
      <c r="JH359" s="31" t="str">
        <f t="shared" si="61"/>
        <v/>
      </c>
    </row>
    <row r="360" spans="1:268" s="31" customFormat="1" x14ac:dyDescent="0.4">
      <c r="A360" s="32"/>
      <c r="B360" s="32"/>
      <c r="C360" s="32"/>
      <c r="D360" s="32"/>
      <c r="E360" s="38"/>
      <c r="F360" s="61"/>
      <c r="G360" s="33"/>
      <c r="H360" s="33"/>
      <c r="I360" s="27" t="str">
        <f t="shared" si="55"/>
        <v/>
      </c>
      <c r="J360" s="33"/>
      <c r="K360" s="28">
        <f t="shared" si="53"/>
        <v>0</v>
      </c>
      <c r="L360" s="28">
        <f>IF(AND($Y360&lt;&gt;"",$X360&lt;&gt;""),MAX(0,ROUND(($X360*$Y360),0)-NETWORKDAYS.INTL($V360,基準日,1)),0)</f>
        <v>0</v>
      </c>
      <c r="M360" s="28">
        <f t="shared" ca="1" si="54"/>
        <v>0</v>
      </c>
      <c r="N360" s="28">
        <f t="shared" ca="1" si="56"/>
        <v>0</v>
      </c>
      <c r="O360" s="34"/>
      <c r="P360" s="34"/>
      <c r="Q360" s="71" t="str" cm="1">
        <f t="array" ref="Q360">IF(SUMPRODUCT(--(B360:E360&lt;&gt;""))&gt;0,"○","")</f>
        <v/>
      </c>
      <c r="R360" s="35"/>
      <c r="S360" s="35"/>
      <c r="T360" s="35"/>
      <c r="U360" s="66"/>
      <c r="V360" s="29" t="str">
        <f t="shared" si="57"/>
        <v/>
      </c>
      <c r="W360" s="29" t="str">
        <f t="shared" si="58"/>
        <v/>
      </c>
      <c r="X360" s="30" t="str">
        <f t="shared" si="59"/>
        <v/>
      </c>
      <c r="Y360" s="36"/>
      <c r="Z360" s="37"/>
      <c r="AA360" s="37"/>
      <c r="JG360" s="31" t="str">
        <f t="shared" si="60"/>
        <v/>
      </c>
      <c r="JH360" s="31" t="str">
        <f t="shared" si="61"/>
        <v/>
      </c>
    </row>
    <row r="361" spans="1:268" s="31" customFormat="1" x14ac:dyDescent="0.4">
      <c r="A361" s="32"/>
      <c r="B361" s="32"/>
      <c r="C361" s="32"/>
      <c r="D361" s="32"/>
      <c r="E361" s="38"/>
      <c r="F361" s="61"/>
      <c r="G361" s="33"/>
      <c r="H361" s="33"/>
      <c r="I361" s="27" t="str">
        <f t="shared" si="55"/>
        <v/>
      </c>
      <c r="J361" s="33"/>
      <c r="K361" s="28">
        <f t="shared" si="53"/>
        <v>0</v>
      </c>
      <c r="L361" s="28">
        <f>IF(AND($Y361&lt;&gt;"",$X361&lt;&gt;""),MAX(0,ROUND(($X361*$Y361),0)-NETWORKDAYS.INTL($V361,基準日,1)),0)</f>
        <v>0</v>
      </c>
      <c r="M361" s="28">
        <f t="shared" ca="1" si="54"/>
        <v>0</v>
      </c>
      <c r="N361" s="28">
        <f t="shared" ca="1" si="56"/>
        <v>0</v>
      </c>
      <c r="O361" s="34"/>
      <c r="P361" s="34"/>
      <c r="Q361" s="71" t="str" cm="1">
        <f t="array" ref="Q361">IF(SUMPRODUCT(--(B361:E361&lt;&gt;""))&gt;0,"○","")</f>
        <v/>
      </c>
      <c r="R361" s="35"/>
      <c r="S361" s="35"/>
      <c r="T361" s="35"/>
      <c r="U361" s="66"/>
      <c r="V361" s="29" t="str">
        <f t="shared" si="57"/>
        <v/>
      </c>
      <c r="W361" s="29" t="str">
        <f t="shared" si="58"/>
        <v/>
      </c>
      <c r="X361" s="30" t="str">
        <f t="shared" si="59"/>
        <v/>
      </c>
      <c r="Y361" s="36"/>
      <c r="Z361" s="37"/>
      <c r="AA361" s="37"/>
      <c r="JG361" s="31" t="str">
        <f t="shared" si="60"/>
        <v/>
      </c>
      <c r="JH361" s="31" t="str">
        <f t="shared" si="61"/>
        <v/>
      </c>
    </row>
    <row r="362" spans="1:268" s="31" customFormat="1" x14ac:dyDescent="0.4">
      <c r="A362" s="32"/>
      <c r="B362" s="32"/>
      <c r="C362" s="32"/>
      <c r="D362" s="32"/>
      <c r="E362" s="38"/>
      <c r="F362" s="61"/>
      <c r="G362" s="33"/>
      <c r="H362" s="33"/>
      <c r="I362" s="27" t="str">
        <f t="shared" si="55"/>
        <v/>
      </c>
      <c r="J362" s="33"/>
      <c r="K362" s="28">
        <f t="shared" si="53"/>
        <v>0</v>
      </c>
      <c r="L362" s="28">
        <f>IF(AND($Y362&lt;&gt;"",$X362&lt;&gt;""),MAX(0,ROUND(($X362*$Y362),0)-NETWORKDAYS.INTL($V362,基準日,1)),0)</f>
        <v>0</v>
      </c>
      <c r="M362" s="28">
        <f t="shared" ca="1" si="54"/>
        <v>0</v>
      </c>
      <c r="N362" s="28">
        <f t="shared" ca="1" si="56"/>
        <v>0</v>
      </c>
      <c r="O362" s="34"/>
      <c r="P362" s="34"/>
      <c r="Q362" s="71" t="str" cm="1">
        <f t="array" ref="Q362">IF(SUMPRODUCT(--(B362:E362&lt;&gt;""))&gt;0,"○","")</f>
        <v/>
      </c>
      <c r="R362" s="35"/>
      <c r="S362" s="35"/>
      <c r="T362" s="35"/>
      <c r="U362" s="66"/>
      <c r="V362" s="29" t="str">
        <f t="shared" si="57"/>
        <v/>
      </c>
      <c r="W362" s="29" t="str">
        <f t="shared" si="58"/>
        <v/>
      </c>
      <c r="X362" s="30" t="str">
        <f t="shared" si="59"/>
        <v/>
      </c>
      <c r="Y362" s="36"/>
      <c r="Z362" s="37"/>
      <c r="AA362" s="37"/>
      <c r="JG362" s="31" t="str">
        <f t="shared" si="60"/>
        <v/>
      </c>
      <c r="JH362" s="31" t="str">
        <f t="shared" si="61"/>
        <v/>
      </c>
    </row>
    <row r="363" spans="1:268" s="31" customFormat="1" x14ac:dyDescent="0.4">
      <c r="A363" s="32"/>
      <c r="B363" s="32"/>
      <c r="C363" s="32"/>
      <c r="D363" s="32"/>
      <c r="E363" s="38"/>
      <c r="F363" s="61"/>
      <c r="G363" s="33"/>
      <c r="H363" s="33"/>
      <c r="I363" s="27" t="str">
        <f t="shared" si="55"/>
        <v/>
      </c>
      <c r="J363" s="33"/>
      <c r="K363" s="28">
        <f t="shared" si="53"/>
        <v>0</v>
      </c>
      <c r="L363" s="28">
        <f>IF(AND($Y363&lt;&gt;"",$X363&lt;&gt;""),MAX(0,ROUND(($X363*$Y363),0)-NETWORKDAYS.INTL($V363,基準日,1)),0)</f>
        <v>0</v>
      </c>
      <c r="M363" s="28">
        <f t="shared" ca="1" si="54"/>
        <v>0</v>
      </c>
      <c r="N363" s="28">
        <f t="shared" ca="1" si="56"/>
        <v>0</v>
      </c>
      <c r="O363" s="34"/>
      <c r="P363" s="34"/>
      <c r="Q363" s="71" t="str" cm="1">
        <f t="array" ref="Q363">IF(SUMPRODUCT(--(B363:E363&lt;&gt;""))&gt;0,"○","")</f>
        <v/>
      </c>
      <c r="R363" s="35"/>
      <c r="S363" s="35"/>
      <c r="T363" s="35"/>
      <c r="U363" s="66"/>
      <c r="V363" s="29" t="str">
        <f t="shared" si="57"/>
        <v/>
      </c>
      <c r="W363" s="29" t="str">
        <f t="shared" si="58"/>
        <v/>
      </c>
      <c r="X363" s="30" t="str">
        <f t="shared" si="59"/>
        <v/>
      </c>
      <c r="Y363" s="36"/>
      <c r="Z363" s="37"/>
      <c r="AA363" s="37"/>
      <c r="JG363" s="31" t="str">
        <f t="shared" si="60"/>
        <v/>
      </c>
      <c r="JH363" s="31" t="str">
        <f t="shared" si="61"/>
        <v/>
      </c>
    </row>
    <row r="364" spans="1:268" s="31" customFormat="1" x14ac:dyDescent="0.4">
      <c r="A364" s="32"/>
      <c r="B364" s="32"/>
      <c r="C364" s="32"/>
      <c r="D364" s="32"/>
      <c r="E364" s="38"/>
      <c r="F364" s="61"/>
      <c r="G364" s="33"/>
      <c r="H364" s="33"/>
      <c r="I364" s="27" t="str">
        <f t="shared" si="55"/>
        <v/>
      </c>
      <c r="J364" s="33"/>
      <c r="K364" s="28">
        <f t="shared" si="53"/>
        <v>0</v>
      </c>
      <c r="L364" s="28">
        <f>IF(AND($Y364&lt;&gt;"",$X364&lt;&gt;""),MAX(0,ROUND(($X364*$Y364),0)-NETWORKDAYS.INTL($V364,基準日,1)),0)</f>
        <v>0</v>
      </c>
      <c r="M364" s="28">
        <f t="shared" ca="1" si="54"/>
        <v>0</v>
      </c>
      <c r="N364" s="28">
        <f t="shared" ca="1" si="56"/>
        <v>0</v>
      </c>
      <c r="O364" s="34"/>
      <c r="P364" s="34"/>
      <c r="Q364" s="71" t="str" cm="1">
        <f t="array" ref="Q364">IF(SUMPRODUCT(--(B364:E364&lt;&gt;""))&gt;0,"○","")</f>
        <v/>
      </c>
      <c r="R364" s="35"/>
      <c r="S364" s="35"/>
      <c r="T364" s="35"/>
      <c r="U364" s="66"/>
      <c r="V364" s="29" t="str">
        <f t="shared" si="57"/>
        <v/>
      </c>
      <c r="W364" s="29" t="str">
        <f t="shared" si="58"/>
        <v/>
      </c>
      <c r="X364" s="30" t="str">
        <f t="shared" si="59"/>
        <v/>
      </c>
      <c r="Y364" s="36"/>
      <c r="Z364" s="37"/>
      <c r="AA364" s="37"/>
      <c r="JG364" s="31" t="str">
        <f t="shared" si="60"/>
        <v/>
      </c>
      <c r="JH364" s="31" t="str">
        <f t="shared" si="61"/>
        <v/>
      </c>
    </row>
    <row r="365" spans="1:268" s="31" customFormat="1" x14ac:dyDescent="0.4">
      <c r="A365" s="32"/>
      <c r="B365" s="32"/>
      <c r="C365" s="32"/>
      <c r="D365" s="32"/>
      <c r="E365" s="38"/>
      <c r="F365" s="61"/>
      <c r="G365" s="33"/>
      <c r="H365" s="33"/>
      <c r="I365" s="27" t="str">
        <f t="shared" si="55"/>
        <v/>
      </c>
      <c r="J365" s="33"/>
      <c r="K365" s="28">
        <f t="shared" si="53"/>
        <v>0</v>
      </c>
      <c r="L365" s="28">
        <f>IF(AND($Y365&lt;&gt;"",$X365&lt;&gt;""),MAX(0,ROUND(($X365*$Y365),0)-NETWORKDAYS.INTL($V365,基準日,1)),0)</f>
        <v>0</v>
      </c>
      <c r="M365" s="28">
        <f t="shared" ca="1" si="54"/>
        <v>0</v>
      </c>
      <c r="N365" s="28">
        <f t="shared" ca="1" si="56"/>
        <v>0</v>
      </c>
      <c r="O365" s="34"/>
      <c r="P365" s="34"/>
      <c r="Q365" s="71" t="str" cm="1">
        <f t="array" ref="Q365">IF(SUMPRODUCT(--(B365:E365&lt;&gt;""))&gt;0,"○","")</f>
        <v/>
      </c>
      <c r="R365" s="35"/>
      <c r="S365" s="35"/>
      <c r="T365" s="35"/>
      <c r="U365" s="66"/>
      <c r="V365" s="29" t="str">
        <f t="shared" si="57"/>
        <v/>
      </c>
      <c r="W365" s="29" t="str">
        <f t="shared" si="58"/>
        <v/>
      </c>
      <c r="X365" s="30" t="str">
        <f t="shared" si="59"/>
        <v/>
      </c>
      <c r="Y365" s="36"/>
      <c r="Z365" s="37"/>
      <c r="AA365" s="37"/>
      <c r="JG365" s="31" t="str">
        <f t="shared" si="60"/>
        <v/>
      </c>
      <c r="JH365" s="31" t="str">
        <f t="shared" si="61"/>
        <v/>
      </c>
    </row>
    <row r="366" spans="1:268" s="31" customFormat="1" x14ac:dyDescent="0.4">
      <c r="A366" s="32"/>
      <c r="B366" s="32"/>
      <c r="C366" s="32"/>
      <c r="D366" s="32"/>
      <c r="E366" s="38"/>
      <c r="F366" s="61"/>
      <c r="G366" s="33"/>
      <c r="H366" s="33"/>
      <c r="I366" s="27" t="str">
        <f t="shared" si="55"/>
        <v/>
      </c>
      <c r="J366" s="33"/>
      <c r="K366" s="28">
        <f t="shared" si="53"/>
        <v>0</v>
      </c>
      <c r="L366" s="28">
        <f>IF(AND($Y366&lt;&gt;"",$X366&lt;&gt;""),MAX(0,ROUND(($X366*$Y366),0)-NETWORKDAYS.INTL($V366,基準日,1)),0)</f>
        <v>0</v>
      </c>
      <c r="M366" s="28">
        <f t="shared" ca="1" si="54"/>
        <v>0</v>
      </c>
      <c r="N366" s="28">
        <f t="shared" ca="1" si="56"/>
        <v>0</v>
      </c>
      <c r="O366" s="34"/>
      <c r="P366" s="34"/>
      <c r="Q366" s="71" t="str" cm="1">
        <f t="array" ref="Q366">IF(SUMPRODUCT(--(B366:E366&lt;&gt;""))&gt;0,"○","")</f>
        <v/>
      </c>
      <c r="R366" s="35"/>
      <c r="S366" s="35"/>
      <c r="T366" s="35"/>
      <c r="U366" s="66"/>
      <c r="V366" s="29" t="str">
        <f t="shared" si="57"/>
        <v/>
      </c>
      <c r="W366" s="29" t="str">
        <f t="shared" si="58"/>
        <v/>
      </c>
      <c r="X366" s="30" t="str">
        <f t="shared" si="59"/>
        <v/>
      </c>
      <c r="Y366" s="36"/>
      <c r="Z366" s="37"/>
      <c r="AA366" s="37"/>
      <c r="JG366" s="31" t="str">
        <f t="shared" si="60"/>
        <v/>
      </c>
      <c r="JH366" s="31" t="str">
        <f t="shared" si="61"/>
        <v/>
      </c>
    </row>
    <row r="367" spans="1:268" s="31" customFormat="1" x14ac:dyDescent="0.4">
      <c r="A367" s="32"/>
      <c r="B367" s="32"/>
      <c r="C367" s="32"/>
      <c r="D367" s="32"/>
      <c r="E367" s="38"/>
      <c r="F367" s="61"/>
      <c r="G367" s="33"/>
      <c r="H367" s="33"/>
      <c r="I367" s="27" t="str">
        <f t="shared" si="55"/>
        <v/>
      </c>
      <c r="J367" s="33"/>
      <c r="K367" s="28">
        <f t="shared" si="53"/>
        <v>0</v>
      </c>
      <c r="L367" s="28">
        <f>IF(AND($Y367&lt;&gt;"",$X367&lt;&gt;""),MAX(0,ROUND(($X367*$Y367),0)-NETWORKDAYS.INTL($V367,基準日,1)),0)</f>
        <v>0</v>
      </c>
      <c r="M367" s="28">
        <f t="shared" ca="1" si="54"/>
        <v>0</v>
      </c>
      <c r="N367" s="28">
        <f t="shared" ca="1" si="56"/>
        <v>0</v>
      </c>
      <c r="O367" s="34"/>
      <c r="P367" s="34"/>
      <c r="Q367" s="71" t="str" cm="1">
        <f t="array" ref="Q367">IF(SUMPRODUCT(--(B367:E367&lt;&gt;""))&gt;0,"○","")</f>
        <v/>
      </c>
      <c r="R367" s="35"/>
      <c r="S367" s="35"/>
      <c r="T367" s="35"/>
      <c r="U367" s="66"/>
      <c r="V367" s="29" t="str">
        <f t="shared" si="57"/>
        <v/>
      </c>
      <c r="W367" s="29" t="str">
        <f t="shared" si="58"/>
        <v/>
      </c>
      <c r="X367" s="30" t="str">
        <f t="shared" si="59"/>
        <v/>
      </c>
      <c r="Y367" s="36"/>
      <c r="Z367" s="37"/>
      <c r="AA367" s="37"/>
      <c r="JG367" s="31" t="str">
        <f t="shared" si="60"/>
        <v/>
      </c>
      <c r="JH367" s="31" t="str">
        <f t="shared" si="61"/>
        <v/>
      </c>
    </row>
    <row r="368" spans="1:268" s="31" customFormat="1" x14ac:dyDescent="0.4">
      <c r="A368" s="32"/>
      <c r="B368" s="32"/>
      <c r="C368" s="32"/>
      <c r="D368" s="32"/>
      <c r="E368" s="38"/>
      <c r="F368" s="61"/>
      <c r="G368" s="33"/>
      <c r="H368" s="33"/>
      <c r="I368" s="27" t="str">
        <f t="shared" si="55"/>
        <v/>
      </c>
      <c r="J368" s="33"/>
      <c r="K368" s="28">
        <f t="shared" si="53"/>
        <v>0</v>
      </c>
      <c r="L368" s="28">
        <f>IF(AND($Y368&lt;&gt;"",$X368&lt;&gt;""),MAX(0,ROUND(($X368*$Y368),0)-NETWORKDAYS.INTL($V368,基準日,1)),0)</f>
        <v>0</v>
      </c>
      <c r="M368" s="28">
        <f t="shared" ca="1" si="54"/>
        <v>0</v>
      </c>
      <c r="N368" s="28">
        <f t="shared" ca="1" si="56"/>
        <v>0</v>
      </c>
      <c r="O368" s="34"/>
      <c r="P368" s="34"/>
      <c r="Q368" s="71" t="str" cm="1">
        <f t="array" ref="Q368">IF(SUMPRODUCT(--(B368:E368&lt;&gt;""))&gt;0,"○","")</f>
        <v/>
      </c>
      <c r="R368" s="35"/>
      <c r="S368" s="35"/>
      <c r="T368" s="35"/>
      <c r="U368" s="66"/>
      <c r="V368" s="29" t="str">
        <f t="shared" si="57"/>
        <v/>
      </c>
      <c r="W368" s="29" t="str">
        <f t="shared" si="58"/>
        <v/>
      </c>
      <c r="X368" s="30" t="str">
        <f t="shared" si="59"/>
        <v/>
      </c>
      <c r="Y368" s="36"/>
      <c r="Z368" s="37"/>
      <c r="AA368" s="37"/>
      <c r="JG368" s="31" t="str">
        <f t="shared" si="60"/>
        <v/>
      </c>
      <c r="JH368" s="31" t="str">
        <f t="shared" si="61"/>
        <v/>
      </c>
    </row>
    <row r="369" spans="1:268" s="31" customFormat="1" x14ac:dyDescent="0.4">
      <c r="A369" s="32"/>
      <c r="B369" s="32"/>
      <c r="C369" s="32"/>
      <c r="D369" s="32"/>
      <c r="E369" s="38"/>
      <c r="F369" s="61"/>
      <c r="G369" s="33"/>
      <c r="H369" s="33"/>
      <c r="I369" s="27" t="str">
        <f t="shared" si="55"/>
        <v/>
      </c>
      <c r="J369" s="33"/>
      <c r="K369" s="28">
        <f t="shared" si="53"/>
        <v>0</v>
      </c>
      <c r="L369" s="28">
        <f>IF(AND($Y369&lt;&gt;"",$X369&lt;&gt;""),MAX(0,ROUND(($X369*$Y369),0)-NETWORKDAYS.INTL($V369,基準日,1)),0)</f>
        <v>0</v>
      </c>
      <c r="M369" s="28">
        <f t="shared" ca="1" si="54"/>
        <v>0</v>
      </c>
      <c r="N369" s="28">
        <f t="shared" ca="1" si="56"/>
        <v>0</v>
      </c>
      <c r="O369" s="34"/>
      <c r="P369" s="34"/>
      <c r="Q369" s="71" t="str" cm="1">
        <f t="array" ref="Q369">IF(SUMPRODUCT(--(B369:E369&lt;&gt;""))&gt;0,"○","")</f>
        <v/>
      </c>
      <c r="R369" s="35"/>
      <c r="S369" s="35"/>
      <c r="T369" s="35"/>
      <c r="U369" s="66"/>
      <c r="V369" s="29" t="str">
        <f t="shared" si="57"/>
        <v/>
      </c>
      <c r="W369" s="29" t="str">
        <f t="shared" si="58"/>
        <v/>
      </c>
      <c r="X369" s="30" t="str">
        <f t="shared" si="59"/>
        <v/>
      </c>
      <c r="Y369" s="36"/>
      <c r="Z369" s="37"/>
      <c r="AA369" s="37"/>
      <c r="JG369" s="31" t="str">
        <f t="shared" si="60"/>
        <v/>
      </c>
      <c r="JH369" s="31" t="str">
        <f t="shared" si="61"/>
        <v/>
      </c>
    </row>
    <row r="370" spans="1:268" s="31" customFormat="1" x14ac:dyDescent="0.4">
      <c r="A370" s="32"/>
      <c r="B370" s="32"/>
      <c r="C370" s="32"/>
      <c r="D370" s="32"/>
      <c r="E370" s="38"/>
      <c r="F370" s="61"/>
      <c r="G370" s="33"/>
      <c r="H370" s="33"/>
      <c r="I370" s="27" t="str">
        <f t="shared" si="55"/>
        <v/>
      </c>
      <c r="J370" s="33"/>
      <c r="K370" s="28">
        <f t="shared" si="53"/>
        <v>0</v>
      </c>
      <c r="L370" s="28">
        <f>IF(AND($Y370&lt;&gt;"",$X370&lt;&gt;""),MAX(0,ROUND(($X370*$Y370),0)-NETWORKDAYS.INTL($V370,基準日,1)),0)</f>
        <v>0</v>
      </c>
      <c r="M370" s="28">
        <f t="shared" ca="1" si="54"/>
        <v>0</v>
      </c>
      <c r="N370" s="28">
        <f t="shared" ca="1" si="56"/>
        <v>0</v>
      </c>
      <c r="O370" s="34"/>
      <c r="P370" s="34"/>
      <c r="Q370" s="71" t="str" cm="1">
        <f t="array" ref="Q370">IF(SUMPRODUCT(--(B370:E370&lt;&gt;""))&gt;0,"○","")</f>
        <v/>
      </c>
      <c r="R370" s="35"/>
      <c r="S370" s="35"/>
      <c r="T370" s="35"/>
      <c r="U370" s="66"/>
      <c r="V370" s="29" t="str">
        <f t="shared" si="57"/>
        <v/>
      </c>
      <c r="W370" s="29" t="str">
        <f t="shared" si="58"/>
        <v/>
      </c>
      <c r="X370" s="30" t="str">
        <f t="shared" si="59"/>
        <v/>
      </c>
      <c r="Y370" s="36"/>
      <c r="Z370" s="37"/>
      <c r="AA370" s="37"/>
      <c r="JG370" s="31" t="str">
        <f t="shared" si="60"/>
        <v/>
      </c>
      <c r="JH370" s="31" t="str">
        <f t="shared" si="61"/>
        <v/>
      </c>
    </row>
    <row r="371" spans="1:268" s="31" customFormat="1" x14ac:dyDescent="0.4">
      <c r="A371" s="32"/>
      <c r="B371" s="32"/>
      <c r="C371" s="32"/>
      <c r="D371" s="32"/>
      <c r="E371" s="38"/>
      <c r="F371" s="61"/>
      <c r="G371" s="33"/>
      <c r="H371" s="33"/>
      <c r="I371" s="27" t="str">
        <f t="shared" si="55"/>
        <v/>
      </c>
      <c r="J371" s="33"/>
      <c r="K371" s="28">
        <f t="shared" si="53"/>
        <v>0</v>
      </c>
      <c r="L371" s="28">
        <f>IF(AND($Y371&lt;&gt;"",$X371&lt;&gt;""),MAX(0,ROUND(($X371*$Y371),0)-NETWORKDAYS.INTL($V371,基準日,1)),0)</f>
        <v>0</v>
      </c>
      <c r="M371" s="28">
        <f t="shared" ca="1" si="54"/>
        <v>0</v>
      </c>
      <c r="N371" s="28">
        <f t="shared" ca="1" si="56"/>
        <v>0</v>
      </c>
      <c r="O371" s="34"/>
      <c r="P371" s="34"/>
      <c r="Q371" s="71" t="str" cm="1">
        <f t="array" ref="Q371">IF(SUMPRODUCT(--(B371:E371&lt;&gt;""))&gt;0,"○","")</f>
        <v/>
      </c>
      <c r="R371" s="35"/>
      <c r="S371" s="35"/>
      <c r="T371" s="35"/>
      <c r="U371" s="66"/>
      <c r="V371" s="29" t="str">
        <f t="shared" si="57"/>
        <v/>
      </c>
      <c r="W371" s="29" t="str">
        <f t="shared" si="58"/>
        <v/>
      </c>
      <c r="X371" s="30" t="str">
        <f t="shared" si="59"/>
        <v/>
      </c>
      <c r="Y371" s="36"/>
      <c r="Z371" s="37"/>
      <c r="AA371" s="37"/>
      <c r="JG371" s="31" t="str">
        <f t="shared" si="60"/>
        <v/>
      </c>
      <c r="JH371" s="31" t="str">
        <f t="shared" si="61"/>
        <v/>
      </c>
    </row>
    <row r="372" spans="1:268" s="31" customFormat="1" x14ac:dyDescent="0.4">
      <c r="A372" s="32"/>
      <c r="B372" s="32"/>
      <c r="C372" s="32"/>
      <c r="D372" s="32"/>
      <c r="E372" s="38"/>
      <c r="F372" s="61"/>
      <c r="G372" s="33"/>
      <c r="H372" s="33"/>
      <c r="I372" s="27" t="str">
        <f t="shared" si="55"/>
        <v/>
      </c>
      <c r="J372" s="33"/>
      <c r="K372" s="28">
        <f t="shared" si="53"/>
        <v>0</v>
      </c>
      <c r="L372" s="28">
        <f>IF(AND($Y372&lt;&gt;"",$X372&lt;&gt;""),MAX(0,ROUND(($X372*$Y372),0)-NETWORKDAYS.INTL($V372,基準日,1)),0)</f>
        <v>0</v>
      </c>
      <c r="M372" s="28">
        <f t="shared" ca="1" si="54"/>
        <v>0</v>
      </c>
      <c r="N372" s="28">
        <f t="shared" ca="1" si="56"/>
        <v>0</v>
      </c>
      <c r="O372" s="34"/>
      <c r="P372" s="34"/>
      <c r="Q372" s="71" t="str" cm="1">
        <f t="array" ref="Q372">IF(SUMPRODUCT(--(B372:E372&lt;&gt;""))&gt;0,"○","")</f>
        <v/>
      </c>
      <c r="R372" s="35"/>
      <c r="S372" s="35"/>
      <c r="T372" s="35"/>
      <c r="U372" s="66"/>
      <c r="V372" s="29" t="str">
        <f t="shared" si="57"/>
        <v/>
      </c>
      <c r="W372" s="29" t="str">
        <f t="shared" si="58"/>
        <v/>
      </c>
      <c r="X372" s="30" t="str">
        <f t="shared" si="59"/>
        <v/>
      </c>
      <c r="Y372" s="36"/>
      <c r="Z372" s="37"/>
      <c r="AA372" s="37"/>
      <c r="JG372" s="31" t="str">
        <f t="shared" si="60"/>
        <v/>
      </c>
      <c r="JH372" s="31" t="str">
        <f t="shared" si="61"/>
        <v/>
      </c>
    </row>
    <row r="373" spans="1:268" s="31" customFormat="1" x14ac:dyDescent="0.4">
      <c r="A373" s="32"/>
      <c r="B373" s="32"/>
      <c r="C373" s="32"/>
      <c r="D373" s="32"/>
      <c r="E373" s="38"/>
      <c r="F373" s="61"/>
      <c r="G373" s="33"/>
      <c r="H373" s="33"/>
      <c r="I373" s="27" t="str">
        <f t="shared" si="55"/>
        <v/>
      </c>
      <c r="J373" s="33"/>
      <c r="K373" s="28">
        <f t="shared" si="53"/>
        <v>0</v>
      </c>
      <c r="L373" s="28">
        <f>IF(AND($Y373&lt;&gt;"",$X373&lt;&gt;""),MAX(0,ROUND(($X373*$Y373),0)-NETWORKDAYS.INTL($V373,基準日,1)),0)</f>
        <v>0</v>
      </c>
      <c r="M373" s="28">
        <f t="shared" ca="1" si="54"/>
        <v>0</v>
      </c>
      <c r="N373" s="28">
        <f t="shared" ca="1" si="56"/>
        <v>0</v>
      </c>
      <c r="O373" s="34"/>
      <c r="P373" s="34"/>
      <c r="Q373" s="71" t="str" cm="1">
        <f t="array" ref="Q373">IF(SUMPRODUCT(--(B373:E373&lt;&gt;""))&gt;0,"○","")</f>
        <v/>
      </c>
      <c r="R373" s="35"/>
      <c r="S373" s="35"/>
      <c r="T373" s="35"/>
      <c r="U373" s="66"/>
      <c r="V373" s="29" t="str">
        <f t="shared" si="57"/>
        <v/>
      </c>
      <c r="W373" s="29" t="str">
        <f t="shared" si="58"/>
        <v/>
      </c>
      <c r="X373" s="30" t="str">
        <f t="shared" si="59"/>
        <v/>
      </c>
      <c r="Y373" s="36"/>
      <c r="Z373" s="37"/>
      <c r="AA373" s="37"/>
      <c r="JG373" s="31" t="str">
        <f t="shared" si="60"/>
        <v/>
      </c>
      <c r="JH373" s="31" t="str">
        <f t="shared" si="61"/>
        <v/>
      </c>
    </row>
    <row r="374" spans="1:268" s="31" customFormat="1" x14ac:dyDescent="0.4">
      <c r="A374" s="32"/>
      <c r="B374" s="32"/>
      <c r="C374" s="32"/>
      <c r="D374" s="32"/>
      <c r="E374" s="38"/>
      <c r="F374" s="61"/>
      <c r="G374" s="33"/>
      <c r="H374" s="33"/>
      <c r="I374" s="27" t="str">
        <f t="shared" si="55"/>
        <v/>
      </c>
      <c r="J374" s="33"/>
      <c r="K374" s="28">
        <f t="shared" si="53"/>
        <v>0</v>
      </c>
      <c r="L374" s="28">
        <f>IF(AND($Y374&lt;&gt;"",$X374&lt;&gt;""),MAX(0,ROUND(($X374*$Y374),0)-NETWORKDAYS.INTL($V374,基準日,1)),0)</f>
        <v>0</v>
      </c>
      <c r="M374" s="28">
        <f t="shared" ca="1" si="54"/>
        <v>0</v>
      </c>
      <c r="N374" s="28">
        <f t="shared" ca="1" si="56"/>
        <v>0</v>
      </c>
      <c r="O374" s="34"/>
      <c r="P374" s="34"/>
      <c r="Q374" s="71" t="str" cm="1">
        <f t="array" ref="Q374">IF(SUMPRODUCT(--(B374:E374&lt;&gt;""))&gt;0,"○","")</f>
        <v/>
      </c>
      <c r="R374" s="35"/>
      <c r="S374" s="35"/>
      <c r="T374" s="35"/>
      <c r="U374" s="66"/>
      <c r="V374" s="29" t="str">
        <f t="shared" si="57"/>
        <v/>
      </c>
      <c r="W374" s="29" t="str">
        <f t="shared" si="58"/>
        <v/>
      </c>
      <c r="X374" s="30" t="str">
        <f t="shared" si="59"/>
        <v/>
      </c>
      <c r="Y374" s="36"/>
      <c r="Z374" s="37"/>
      <c r="AA374" s="37"/>
      <c r="JG374" s="31" t="str">
        <f t="shared" si="60"/>
        <v/>
      </c>
      <c r="JH374" s="31" t="str">
        <f t="shared" si="61"/>
        <v/>
      </c>
    </row>
    <row r="375" spans="1:268" s="31" customFormat="1" x14ac:dyDescent="0.4">
      <c r="A375" s="32"/>
      <c r="B375" s="32"/>
      <c r="C375" s="32"/>
      <c r="D375" s="32"/>
      <c r="E375" s="38"/>
      <c r="F375" s="61"/>
      <c r="G375" s="33"/>
      <c r="H375" s="33"/>
      <c r="I375" s="27" t="str">
        <f t="shared" si="55"/>
        <v/>
      </c>
      <c r="J375" s="33"/>
      <c r="K375" s="28">
        <f t="shared" si="53"/>
        <v>0</v>
      </c>
      <c r="L375" s="28">
        <f>IF(AND($Y375&lt;&gt;"",$X375&lt;&gt;""),MAX(0,ROUND(($X375*$Y375),0)-NETWORKDAYS.INTL($V375,基準日,1)),0)</f>
        <v>0</v>
      </c>
      <c r="M375" s="28">
        <f t="shared" ca="1" si="54"/>
        <v>0</v>
      </c>
      <c r="N375" s="28">
        <f t="shared" ca="1" si="56"/>
        <v>0</v>
      </c>
      <c r="O375" s="34"/>
      <c r="P375" s="34"/>
      <c r="Q375" s="71" t="str" cm="1">
        <f t="array" ref="Q375">IF(SUMPRODUCT(--(B375:E375&lt;&gt;""))&gt;0,"○","")</f>
        <v/>
      </c>
      <c r="R375" s="35"/>
      <c r="S375" s="35"/>
      <c r="T375" s="35"/>
      <c r="U375" s="66"/>
      <c r="V375" s="29" t="str">
        <f t="shared" si="57"/>
        <v/>
      </c>
      <c r="W375" s="29" t="str">
        <f t="shared" si="58"/>
        <v/>
      </c>
      <c r="X375" s="30" t="str">
        <f t="shared" si="59"/>
        <v/>
      </c>
      <c r="Y375" s="36"/>
      <c r="Z375" s="37"/>
      <c r="AA375" s="37"/>
      <c r="JG375" s="31" t="str">
        <f t="shared" si="60"/>
        <v/>
      </c>
      <c r="JH375" s="31" t="str">
        <f t="shared" si="61"/>
        <v/>
      </c>
    </row>
    <row r="376" spans="1:268" s="46" customFormat="1" x14ac:dyDescent="0.4">
      <c r="A376" s="39"/>
      <c r="B376" s="39"/>
      <c r="C376" s="39"/>
      <c r="D376" s="39"/>
      <c r="E376" s="40" t="s">
        <v>21</v>
      </c>
      <c r="F376" s="40"/>
      <c r="G376" s="40"/>
      <c r="H376" s="40"/>
      <c r="I376" s="41"/>
      <c r="J376" s="40"/>
      <c r="K376" s="41"/>
      <c r="L376" s="41"/>
      <c r="M376" s="41"/>
      <c r="N376" s="41"/>
      <c r="O376" s="40"/>
      <c r="P376" s="40"/>
      <c r="Q376" s="72"/>
      <c r="R376" s="42"/>
      <c r="S376" s="42"/>
      <c r="T376" s="42"/>
      <c r="U376" s="67"/>
      <c r="V376" s="43"/>
      <c r="W376" s="44"/>
      <c r="X376" s="44"/>
      <c r="Y376" s="45"/>
      <c r="Z376" s="44"/>
      <c r="AA376" s="44"/>
    </row>
    <row r="378" spans="1:268" x14ac:dyDescent="0.4">
      <c r="O378" s="47"/>
      <c r="P378" s="47"/>
      <c r="Q378" s="73"/>
      <c r="R378" s="48"/>
      <c r="S378" s="48"/>
      <c r="T378" s="48"/>
    </row>
    <row r="379" spans="1:268" x14ac:dyDescent="0.4">
      <c r="O379" s="49"/>
      <c r="P379" s="49"/>
      <c r="Q379" s="74"/>
      <c r="R379" s="50"/>
      <c r="S379" s="50"/>
      <c r="T379" s="50"/>
    </row>
  </sheetData>
  <autoFilter ref="A4:AA376" xr:uid="{00000000-0001-0000-0000-000000000000}"/>
  <phoneticPr fontId="6"/>
  <conditionalFormatting sqref="A5:AA375">
    <cfRule type="expression" dxfId="17" priority="2">
      <formula>$B5&lt;&gt;""</formula>
    </cfRule>
    <cfRule type="expression" dxfId="16" priority="5">
      <formula>$C5&lt;&gt;""</formula>
    </cfRule>
    <cfRule type="expression" dxfId="15" priority="6">
      <formula>$D5&lt;&gt;""</formula>
    </cfRule>
  </conditionalFormatting>
  <conditionalFormatting sqref="A5:XFD375">
    <cfRule type="expression" dxfId="14" priority="22">
      <formula>AND($Z5&lt;&gt;"",$AA5&lt;&gt;"")</formula>
    </cfRule>
  </conditionalFormatting>
  <conditionalFormatting sqref="N5:N375">
    <cfRule type="expression" dxfId="13" priority="9">
      <formula>IFERROR($N5,0)&gt;0</formula>
    </cfRule>
  </conditionalFormatting>
  <conditionalFormatting sqref="O5:P375">
    <cfRule type="containsBlanks" dxfId="12" priority="23">
      <formula>LEN(TRIM(O5))=0</formula>
    </cfRule>
  </conditionalFormatting>
  <conditionalFormatting sqref="R5:R375">
    <cfRule type="expression" dxfId="11" priority="7">
      <formula>ABS(基準日-$R5)&gt;=5</formula>
    </cfRule>
  </conditionalFormatting>
  <conditionalFormatting sqref="Y1:Y1048576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{7E6831F9-074A-42E7-91DE-CE88CB8736B9}</x14:id>
        </ext>
      </extLst>
    </cfRule>
  </conditionalFormatting>
  <conditionalFormatting sqref="AB1:JE375">
    <cfRule type="expression" dxfId="10" priority="17" stopIfTrue="1">
      <formula>AND(AB$3&lt;基準日,ISEVEN(WEEKNUM(AB$3))=FALSE)</formula>
    </cfRule>
    <cfRule type="expression" dxfId="9" priority="18" stopIfTrue="1">
      <formula>AND(AB$3&lt;基準日,ISEVEN(WEEKNUM(AB$3))=TRUE)</formula>
    </cfRule>
    <cfRule type="expression" dxfId="8" priority="19" stopIfTrue="1">
      <formula>OR(WEEKDAY(AB$3,2)=6,WEEKDAY(AB$3,2)=7)</formula>
    </cfRule>
    <cfRule type="expression" dxfId="7" priority="20" stopIfTrue="1">
      <formula>ISEVEN(WEEKNUM(AB$3))=TRUE</formula>
    </cfRule>
  </conditionalFormatting>
  <conditionalFormatting sqref="AB5:JE375">
    <cfRule type="expression" dxfId="6" priority="10" stopIfTrue="1">
      <formula>AND($Z5="",AB$3&lt;=基準日,AB$3&gt;=$V5,AB$3&lt;=$W5)</formula>
    </cfRule>
    <cfRule type="expression" dxfId="5" priority="11" stopIfTrue="1">
      <formula>AND($Y5&lt;1, $AA5="",$Z5&lt;&gt;"",AB$3&lt;=基準日, AB$3&gt;=($W5-IF($W5&gt;=$Z5,$W5-$Z5,$X5-1)*(1-$Y5)),AB$3&lt;=$W5)</formula>
    </cfRule>
    <cfRule type="expression" dxfId="4" priority="12" stopIfTrue="1">
      <formula>AND($Y5&lt;1, $AA5="",$Z5&lt;&gt;"",AB$3&gt;=($W5-IF($W5&gt;=$Z5,$W5-$Z5,$X5-1)*(1-$Y5)),AB$3&lt;=$W5)</formula>
    </cfRule>
    <cfRule type="expression" dxfId="3" priority="13" stopIfTrue="1">
      <formula>AND(AB$3&gt;=$V5,AB$3&gt;=$Z5,AB$3&lt;=$W5,AB$3&lt;=$AA5)</formula>
    </cfRule>
    <cfRule type="expression" dxfId="2" priority="14" stopIfTrue="1">
      <formula>AND($AA5&lt;&gt;"",AB$3&gt;=$Z5,AB$3&lt;=$AA5)</formula>
    </cfRule>
    <cfRule type="expression" dxfId="1" priority="15" stopIfTrue="1">
      <formula>AND(AB$3&gt;=$V5,AB$3&lt;=$W5)</formula>
    </cfRule>
    <cfRule type="expression" dxfId="0" priority="16" stopIfTrue="1">
      <formula>AB$3=基準日</formula>
    </cfRule>
  </conditionalFormatting>
  <dataValidations disablePrompts="1" count="1">
    <dataValidation type="whole" operator="greaterThanOrEqual" allowBlank="1" showInputMessage="1" promptTitle="週表示" prompt="この数字を変更すると、ガント チャート ビューがスクロールされます。" sqref="P3:Q3" xr:uid="{68EC89AD-7554-410D-914E-0FED86CFBF37}">
      <formula1>1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6831F9-074A-42E7-91DE-CE88CB8736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Y1:Y1048576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8</vt:i4>
      </vt:variant>
    </vt:vector>
  </HeadingPairs>
  <TitlesOfParts>
    <vt:vector size="9" baseType="lpstr">
      <vt:lpstr>Sheet1</vt:lpstr>
      <vt:lpstr>開始日</vt:lpstr>
      <vt:lpstr>基準日</vt:lpstr>
      <vt:lpstr>計画_開始日</vt:lpstr>
      <vt:lpstr>計画_終了日</vt:lpstr>
      <vt:lpstr>計画_日数</vt:lpstr>
      <vt:lpstr>実績_開始日</vt:lpstr>
      <vt:lpstr>実績_終了日</vt:lpstr>
      <vt:lpstr>週表示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Legacy IT</cp:lastModifiedBy>
  <cp:revision>1</cp:revision>
  <dcterms:created xsi:type="dcterms:W3CDTF">2025-05-21T02:09:17Z</dcterms:created>
  <dcterms:modified xsi:type="dcterms:W3CDTF">2025-06-19T11:13:44Z</dcterms:modified>
  <cp:category/>
  <cp:contentStatus/>
</cp:coreProperties>
</file>